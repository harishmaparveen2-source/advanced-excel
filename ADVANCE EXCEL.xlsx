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Harishma Project\"/>
    </mc:Choice>
  </mc:AlternateContent>
  <xr:revisionPtr revIDLastSave="0" documentId="13_ncr:1_{C6E8FC67-527D-4C1E-BAA4-6A8CB02EB876}" xr6:coauthVersionLast="47" xr6:coauthVersionMax="47" xr10:uidLastSave="{00000000-0000-0000-0000-000000000000}"/>
  <bookViews>
    <workbookView xWindow="-120" yWindow="-120" windowWidth="20730" windowHeight="11040" firstSheet="7" activeTab="10" xr2:uid="{B8BBB4DC-3BE7-437C-BDE1-4AE65DED229D}"/>
  </bookViews>
  <sheets>
    <sheet name="MIN-MAX-AVG-SUM" sheetId="1" r:id="rId1"/>
    <sheet name="IF" sheetId="2" r:id="rId2"/>
    <sheet name="SUMIFS" sheetId="3" r:id="rId3"/>
    <sheet name="COUNTIFS" sheetId="4" r:id="rId4"/>
    <sheet name="SUMPRODUCT" sheetId="5" r:id="rId5"/>
    <sheet name="CONCAT&amp;TEXTJOIN" sheetId="6" r:id="rId6"/>
    <sheet name="HLOOKUP" sheetId="8" r:id="rId7"/>
    <sheet name="VLOOKUP&amp;IFERROR" sheetId="7" r:id="rId8"/>
    <sheet name="CONCATENATE" sheetId="9" r:id="rId9"/>
    <sheet name="CONDITIONAL FARMAT" sheetId="10" r:id="rId10"/>
    <sheet name="POVIT TABLE" sheetId="11" r:id="rId11"/>
  </sheets>
  <definedNames>
    <definedName name="Slicer_ORDERS">#N/A</definedName>
    <definedName name="Slicer_REGION">#N/A</definedName>
    <definedName name="Slicer_SALES_PERSON">#N/A</definedName>
    <definedName name="Slicer_TOTAL">#N/A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9" l="1"/>
  <c r="B4" i="9"/>
  <c r="B5" i="9"/>
  <c r="B6" i="9"/>
  <c r="B7" i="9"/>
  <c r="B8" i="9"/>
  <c r="B9" i="9"/>
  <c r="B10" i="9"/>
  <c r="B2" i="9"/>
  <c r="B1" i="9"/>
  <c r="D9" i="1"/>
  <c r="J3" i="1"/>
  <c r="I3" i="1"/>
  <c r="D10" i="1"/>
  <c r="D10" i="6"/>
  <c r="E9" i="6"/>
  <c r="H2" i="4"/>
  <c r="B11" i="8"/>
  <c r="H11" i="7"/>
  <c r="H9" i="7"/>
  <c r="D9" i="6"/>
  <c r="E24" i="5"/>
  <c r="I4" i="3"/>
  <c r="I2" i="3"/>
  <c r="C3" i="2"/>
  <c r="C4" i="2"/>
  <c r="C5" i="2"/>
  <c r="C6" i="2"/>
  <c r="C2" i="2"/>
  <c r="O2" i="1"/>
  <c r="K4" i="1"/>
  <c r="K5" i="1"/>
  <c r="K6" i="1"/>
  <c r="K7" i="1"/>
  <c r="E10" i="1"/>
  <c r="F10" i="1"/>
  <c r="G10" i="1"/>
  <c r="H10" i="1"/>
  <c r="E9" i="1"/>
  <c r="F9" i="1"/>
  <c r="G9" i="1"/>
  <c r="H9" i="1"/>
  <c r="J4" i="1"/>
  <c r="J5" i="1"/>
  <c r="J6" i="1"/>
  <c r="J7" i="1"/>
  <c r="I4" i="1"/>
  <c r="I5" i="1"/>
  <c r="I6" i="1"/>
  <c r="I7" i="1"/>
  <c r="K3" i="1" l="1"/>
  <c r="O4" i="1" s="1"/>
  <c r="P6" i="1"/>
  <c r="O3" i="1" l="1"/>
  <c r="P7" i="1" s="1"/>
</calcChain>
</file>

<file path=xl/sharedStrings.xml><?xml version="1.0" encoding="utf-8"?>
<sst xmlns="http://schemas.openxmlformats.org/spreadsheetml/2006/main" count="301" uniqueCount="125">
  <si>
    <t>s.no</t>
  </si>
  <si>
    <t>name</t>
  </si>
  <si>
    <t>roll no</t>
  </si>
  <si>
    <t xml:space="preserve">mark 1 </t>
  </si>
  <si>
    <t>mark 2</t>
  </si>
  <si>
    <t>mark3</t>
  </si>
  <si>
    <t>mark 4</t>
  </si>
  <si>
    <t>mark 5</t>
  </si>
  <si>
    <t>total</t>
  </si>
  <si>
    <t>avg</t>
  </si>
  <si>
    <t>harishma</t>
  </si>
  <si>
    <t>zara</t>
  </si>
  <si>
    <t>zayan</t>
  </si>
  <si>
    <t>riya</t>
  </si>
  <si>
    <t>renu</t>
  </si>
  <si>
    <t>result</t>
  </si>
  <si>
    <t>min</t>
  </si>
  <si>
    <t>max</t>
  </si>
  <si>
    <t>R1001</t>
  </si>
  <si>
    <t>R1002</t>
  </si>
  <si>
    <t>R1003</t>
  </si>
  <si>
    <t>R1004</t>
  </si>
  <si>
    <t>R1005</t>
  </si>
  <si>
    <t>TOTAL  STUDENT</t>
  </si>
  <si>
    <t>TOTAL PASS</t>
  </si>
  <si>
    <t>TOTAL FAIL</t>
  </si>
  <si>
    <t>STUDENT &gt;80% MARKS</t>
  </si>
  <si>
    <t>OVERALL PASS %</t>
  </si>
  <si>
    <t xml:space="preserve">PASS %      </t>
  </si>
  <si>
    <t>STUDENT NAME</t>
  </si>
  <si>
    <t>% OF MARKS</t>
  </si>
  <si>
    <t>SCHOLASHIP</t>
  </si>
  <si>
    <t>EMPLOYEE</t>
  </si>
  <si>
    <t>REGION</t>
  </si>
  <si>
    <t>ORDER TAKEN</t>
  </si>
  <si>
    <t>TOTAL SALES</t>
  </si>
  <si>
    <t>KALAM</t>
  </si>
  <si>
    <t>BANU</t>
  </si>
  <si>
    <t>KAVIYA</t>
  </si>
  <si>
    <t>SURIYA</t>
  </si>
  <si>
    <t>NORTH</t>
  </si>
  <si>
    <t>EAST</t>
  </si>
  <si>
    <t>SOUTH</t>
  </si>
  <si>
    <t>UNITS ORDERED</t>
  </si>
  <si>
    <t>TOTAL AMOUNT</t>
  </si>
  <si>
    <t>&gt;=500</t>
  </si>
  <si>
    <t xml:space="preserve"> </t>
  </si>
  <si>
    <t>ODERS TAKENS</t>
  </si>
  <si>
    <t>TOTAL COUNT</t>
  </si>
  <si>
    <t>&gt;=200</t>
  </si>
  <si>
    <t>PRODUCT ID</t>
  </si>
  <si>
    <t>PRODUCT</t>
  </si>
  <si>
    <t>QUANTITY</t>
  </si>
  <si>
    <t>RATE</t>
  </si>
  <si>
    <t>AMOUNT</t>
  </si>
  <si>
    <t>GREEN GRAM</t>
  </si>
  <si>
    <t>RICE</t>
  </si>
  <si>
    <t>TOOTH PASTE</t>
  </si>
  <si>
    <t>SALT</t>
  </si>
  <si>
    <t>BENGAL GRAM</t>
  </si>
  <si>
    <t>OIL</t>
  </si>
  <si>
    <t xml:space="preserve">RICE </t>
  </si>
  <si>
    <t>SUGER</t>
  </si>
  <si>
    <t>TOTAL</t>
  </si>
  <si>
    <t>FIRST NAME</t>
  </si>
  <si>
    <t>MIDDLE NAME</t>
  </si>
  <si>
    <t>LAST NAME</t>
  </si>
  <si>
    <t>MICHAEL</t>
  </si>
  <si>
    <t>HENRY</t>
  </si>
  <si>
    <t>W</t>
  </si>
  <si>
    <t>SMITH</t>
  </si>
  <si>
    <t>FORD</t>
  </si>
  <si>
    <t>EMPOLYEE</t>
  </si>
  <si>
    <t>COMPANY</t>
  </si>
  <si>
    <t>BRANCH</t>
  </si>
  <si>
    <t>SALES</t>
  </si>
  <si>
    <t>MRF</t>
  </si>
  <si>
    <t>TVS</t>
  </si>
  <si>
    <t>CEAT</t>
  </si>
  <si>
    <t>APOLLO</t>
  </si>
  <si>
    <t>CHENNAI</t>
  </si>
  <si>
    <t>MADURAI</t>
  </si>
  <si>
    <t>TRICHY</t>
  </si>
  <si>
    <t>COVAI</t>
  </si>
  <si>
    <t>WEST</t>
  </si>
  <si>
    <t>CONCAT AND TEXTJOIN</t>
  </si>
  <si>
    <t xml:space="preserve">      SALES PERSON</t>
  </si>
  <si>
    <t xml:space="preserve">             REGION</t>
  </si>
  <si>
    <t xml:space="preserve"> PRODUCT CATEGORY</t>
  </si>
  <si>
    <t xml:space="preserve">                JAN</t>
  </si>
  <si>
    <t xml:space="preserve">                FEB</t>
  </si>
  <si>
    <t xml:space="preserve">            MARCH</t>
  </si>
  <si>
    <t xml:space="preserve">       TOTAL SALES</t>
  </si>
  <si>
    <t>AANTHI</t>
  </si>
  <si>
    <t>ELECTRONICS</t>
  </si>
  <si>
    <t>AJAY</t>
  </si>
  <si>
    <t>FURNITURE</t>
  </si>
  <si>
    <t>ANITHA</t>
  </si>
  <si>
    <t>SATIONERY</t>
  </si>
  <si>
    <t>ARUN</t>
  </si>
  <si>
    <t>BALA</t>
  </si>
  <si>
    <t>DIVYA</t>
  </si>
  <si>
    <t>KAVYA</t>
  </si>
  <si>
    <t>KUMAR</t>
  </si>
  <si>
    <t>LAKSHMI</t>
  </si>
  <si>
    <t>MEENA</t>
  </si>
  <si>
    <t>MOHAN</t>
  </si>
  <si>
    <t>NISHA</t>
  </si>
  <si>
    <t>POOJA</t>
  </si>
  <si>
    <t>PRIYA</t>
  </si>
  <si>
    <t>RAMESH</t>
  </si>
  <si>
    <t>RAVI</t>
  </si>
  <si>
    <t>SANJAY</t>
  </si>
  <si>
    <t>SNEHA</t>
  </si>
  <si>
    <t>SURESH</t>
  </si>
  <si>
    <t>VIGNESH</t>
  </si>
  <si>
    <t>SALES PERSON</t>
  </si>
  <si>
    <t xml:space="preserve">REGION </t>
  </si>
  <si>
    <t>ORDERS</t>
  </si>
  <si>
    <t>CHITRA</t>
  </si>
  <si>
    <t>DEEPAK</t>
  </si>
  <si>
    <t>Row Labels</t>
  </si>
  <si>
    <t>Sum of TOTAL</t>
  </si>
  <si>
    <t>Grand Total</t>
  </si>
  <si>
    <t>Sum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</si>
</sst>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s>
  <fills count="11">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4" tint="-0.499984740745262"/>
        <bgColor indexed="64"/>
      </patternFill>
    </fill>
    <fill>
      <patternFill patternType="solid">
        <fgColor rgb="FF7030A0"/>
        <bgColor indexed="64"/>
      </patternFill>
    </fill>
    <fill>
      <patternFill patternType="solid">
        <fgColor theme="8" tint="-0.249977111117893"/>
        <bgColor indexed="64"/>
      </patternFill>
    </fill>
    <fill>
      <patternFill patternType="solid">
        <fgColor theme="2" tint="-0.749992370372631"/>
        <bgColor indexed="64"/>
      </patternFill>
    </fill>
    <fill>
      <patternFill patternType="solid">
        <fgColor theme="5" tint="-0.249977111117893"/>
        <bgColor indexed="64"/>
      </patternFill>
    </fill>
    <fill>
      <patternFill patternType="solid">
        <fgColor rgb="FFFFFF00"/>
        <bgColor indexed="64"/>
      </patternFill>
    </fill>
    <fill>
      <patternFill patternType="solid">
        <fgColor rgb="FF00B0F0"/>
        <bgColor indexed="64"/>
      </patternFill>
    </fill>
  </fills>
  <borders count="14">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6">
    <xf numFmtId="0" fontId="0" fillId="0" borderId="0" xfId="0"/>
    <xf numFmtId="0" fontId="0" fillId="0" borderId="1" xfId="0" applyBorder="1"/>
    <xf numFmtId="0" fontId="0" fillId="0" borderId="3" xfId="0" applyBorder="1"/>
    <xf numFmtId="0" fontId="0" fillId="0" borderId="2" xfId="0" applyBorder="1"/>
    <xf numFmtId="0" fontId="0" fillId="0" borderId="0" xfId="0" applyAlignment="1">
      <alignment horizontal="center"/>
    </xf>
    <xf numFmtId="0" fontId="0" fillId="2" borderId="4" xfId="0" applyFill="1" applyBorder="1" applyAlignment="1">
      <alignment horizontal="center"/>
    </xf>
    <xf numFmtId="10" fontId="1" fillId="0" borderId="0" xfId="0" applyNumberFormat="1" applyFont="1" applyAlignment="1">
      <alignment horizontal="center"/>
    </xf>
    <xf numFmtId="9" fontId="1" fillId="0" borderId="0" xfId="0" applyNumberFormat="1" applyFont="1" applyAlignment="1">
      <alignment horizontal="center"/>
    </xf>
    <xf numFmtId="0" fontId="0" fillId="0" borderId="4" xfId="0" applyBorder="1"/>
    <xf numFmtId="0" fontId="2" fillId="3" borderId="4" xfId="0" applyFont="1" applyFill="1" applyBorder="1" applyAlignment="1">
      <alignment horizontal="center"/>
    </xf>
    <xf numFmtId="3" fontId="0" fillId="0" borderId="4" xfId="0" applyNumberFormat="1" applyBorder="1"/>
    <xf numFmtId="0" fontId="0" fillId="0" borderId="4" xfId="0" applyBorder="1" applyAlignment="1">
      <alignment horizontal="center"/>
    </xf>
    <xf numFmtId="3" fontId="0" fillId="0" borderId="4" xfId="0" applyNumberFormat="1" applyBorder="1" applyAlignment="1">
      <alignment horizontal="center"/>
    </xf>
    <xf numFmtId="0" fontId="4" fillId="4" borderId="4" xfId="0" applyFont="1" applyFill="1" applyBorder="1" applyAlignment="1">
      <alignment horizontal="center"/>
    </xf>
    <xf numFmtId="0" fontId="3" fillId="5" borderId="4" xfId="0" applyFont="1" applyFill="1" applyBorder="1" applyAlignment="1">
      <alignment horizontal="center"/>
    </xf>
    <xf numFmtId="0" fontId="3" fillId="6" borderId="4" xfId="0" applyFont="1" applyFill="1" applyBorder="1" applyAlignment="1">
      <alignment horizontal="center"/>
    </xf>
    <xf numFmtId="0" fontId="3" fillId="7" borderId="4" xfId="0" applyFont="1" applyFill="1" applyBorder="1" applyAlignment="1">
      <alignment horizontal="center"/>
    </xf>
    <xf numFmtId="3" fontId="0" fillId="0" borderId="4" xfId="0" applyNumberFormat="1" applyBorder="1" applyAlignment="1">
      <alignment horizontal="left"/>
    </xf>
    <xf numFmtId="0" fontId="2" fillId="8" borderId="4" xfId="0" applyFont="1" applyFill="1" applyBorder="1"/>
    <xf numFmtId="0" fontId="2" fillId="3" borderId="4" xfId="0" applyFont="1" applyFill="1" applyBorder="1"/>
    <xf numFmtId="0" fontId="0" fillId="9" borderId="3" xfId="0" applyFill="1" applyBorder="1" applyAlignment="1">
      <alignment vertical="center"/>
    </xf>
    <xf numFmtId="0" fontId="0" fillId="9" borderId="5" xfId="0" applyFill="1" applyBorder="1" applyAlignment="1">
      <alignment vertical="center"/>
    </xf>
    <xf numFmtId="0" fontId="0" fillId="9" borderId="6" xfId="0" applyFill="1" applyBorder="1" applyAlignment="1">
      <alignment vertical="center"/>
    </xf>
    <xf numFmtId="0" fontId="0" fillId="0" borderId="7" xfId="0" applyBorder="1"/>
    <xf numFmtId="4" fontId="0" fillId="0" borderId="7" xfId="0" applyNumberFormat="1" applyBorder="1"/>
    <xf numFmtId="4" fontId="0" fillId="0" borderId="8" xfId="0" applyNumberFormat="1" applyBorder="1"/>
    <xf numFmtId="0" fontId="0" fillId="0" borderId="9" xfId="0" applyBorder="1"/>
    <xf numFmtId="4" fontId="0" fillId="0" borderId="10" xfId="0" applyNumberFormat="1" applyBorder="1"/>
    <xf numFmtId="4" fontId="0" fillId="0" borderId="4" xfId="0" applyNumberFormat="1" applyBorder="1"/>
    <xf numFmtId="0" fontId="0" fillId="9" borderId="11" xfId="0" applyFill="1" applyBorder="1" applyAlignment="1">
      <alignment vertical="center"/>
    </xf>
    <xf numFmtId="0" fontId="0" fillId="9" borderId="12" xfId="0" applyFill="1" applyBorder="1" applyAlignment="1">
      <alignment vertical="center"/>
    </xf>
    <xf numFmtId="0" fontId="0" fillId="9" borderId="13" xfId="0" applyFill="1" applyBorder="1" applyAlignment="1">
      <alignment vertical="center"/>
    </xf>
    <xf numFmtId="0" fontId="2" fillId="10" borderId="0" xfId="0" applyFont="1" applyFill="1"/>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15">
    <dxf>
      <font>
        <b/>
        <i val="0"/>
        <strike val="0"/>
        <condense val="0"/>
        <extend val="0"/>
        <outline val="0"/>
        <shadow val="0"/>
        <u val="none"/>
        <vertAlign val="baseline"/>
        <sz val="11"/>
        <color theme="1"/>
        <name val="Calibri"/>
        <family val="2"/>
        <scheme val="minor"/>
      </font>
      <fill>
        <patternFill patternType="solid">
          <fgColor indexed="64"/>
          <bgColor rgb="FF00B0F0"/>
        </patternFill>
      </fill>
    </dxf>
    <dxf>
      <numFmt numFmtId="4" formatCode="#,##0.0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EXCEL.xlsx]POVIT TABLE!PivotTable2</c:name>
    <c:fmtId val="3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'POVIT TABLE'!$G$8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'POVIT TABLE'!$F$9:$F$13</c:f>
              <c:strCache>
                <c:ptCount val="4"/>
                <c:pt idx="0">
                  <c:v>ARUN</c:v>
                </c:pt>
                <c:pt idx="1">
                  <c:v>BALA</c:v>
                </c:pt>
                <c:pt idx="2">
                  <c:v>CHITRA</c:v>
                </c:pt>
                <c:pt idx="3">
                  <c:v>DEEPAK</c:v>
                </c:pt>
              </c:strCache>
            </c:strRef>
          </c:cat>
          <c:val>
            <c:numRef>
              <c:f>'POVIT TABLE'!$G$9:$G$13</c:f>
              <c:numCache>
                <c:formatCode>General</c:formatCode>
                <c:ptCount val="4"/>
                <c:pt idx="0">
                  <c:v>14</c:v>
                </c:pt>
                <c:pt idx="1">
                  <c:v>13</c:v>
                </c:pt>
                <c:pt idx="2">
                  <c:v>11</c:v>
                </c:pt>
                <c:pt idx="3">
                  <c:v>16</c:v>
                </c:pt>
              </c:numCache>
            </c:numRef>
          </c:val>
          <c:extLst>
            <c:ext xmlns:c16="http://schemas.microsoft.com/office/drawing/2014/chart" uri="{C3380CC4-5D6E-409C-BE32-E72D297353CC}">
              <c16:uniqueId val="{00000000-6399-4E6A-8F58-500805D7C2E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EXCEL.xlsx]POVIT TABLE!PivotTable1</c:name>
    <c:fmtId val="15"/>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01159230096238"/>
          <c:y val="0.26749781277340334"/>
          <c:w val="0.55602537182852141"/>
          <c:h val="0.62510279965004378"/>
        </c:manualLayout>
      </c:layout>
      <c:barChart>
        <c:barDir val="bar"/>
        <c:grouping val="clustered"/>
        <c:varyColors val="0"/>
        <c:ser>
          <c:idx val="0"/>
          <c:order val="0"/>
          <c:tx>
            <c:strRef>
              <c:f>'POVIT TABLE'!$G$1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'POVIT TABLE'!$F$2:$F$6</c:f>
              <c:strCache>
                <c:ptCount val="4"/>
                <c:pt idx="0">
                  <c:v>EAST</c:v>
                </c:pt>
                <c:pt idx="1">
                  <c:v>NORTH</c:v>
                </c:pt>
                <c:pt idx="2">
                  <c:v>SOUTH</c:v>
                </c:pt>
                <c:pt idx="3">
                  <c:v>WEST</c:v>
                </c:pt>
              </c:strCache>
            </c:strRef>
          </c:cat>
          <c:val>
            <c:numRef>
              <c:f>'POVIT TABLE'!$G$2:$G$6</c:f>
              <c:numCache>
                <c:formatCode>General</c:formatCode>
                <c:ptCount val="4"/>
                <c:pt idx="0">
                  <c:v>89000</c:v>
                </c:pt>
                <c:pt idx="1">
                  <c:v>65000</c:v>
                </c:pt>
                <c:pt idx="2">
                  <c:v>60000</c:v>
                </c:pt>
                <c:pt idx="3">
                  <c:v>75000</c:v>
                </c:pt>
              </c:numCache>
            </c:numRef>
          </c:val>
          <c:extLst>
            <c:ext xmlns:c16="http://schemas.microsoft.com/office/drawing/2014/chart" uri="{C3380CC4-5D6E-409C-BE32-E72D297353CC}">
              <c16:uniqueId val="{00000000-B10A-4800-8637-3C3F7821B961}"/>
            </c:ext>
          </c:extLst>
        </c:ser>
        <c:dLbls>
          <c:dLblPos val="inEnd"/>
          <c:showLegendKey val="0"/>
          <c:showVal val="1"/>
          <c:showCatName val="0"/>
          <c:showSerName val="0"/>
          <c:showPercent val="0"/>
          <c:showBubbleSize val="0"/>
        </c:dLbls>
        <c:gapWidth val="65"/>
        <c:axId val="1031564575"/>
        <c:axId val="1031566015"/>
      </c:barChart>
      <c:catAx>
        <c:axId val="10315645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31566015"/>
        <c:crosses val="autoZero"/>
        <c:auto val="1"/>
        <c:lblAlgn val="ctr"/>
        <c:lblOffset val="100"/>
        <c:noMultiLvlLbl val="0"/>
      </c:catAx>
      <c:valAx>
        <c:axId val="103156601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315645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190500</xdr:colOff>
      <xdr:row>0</xdr:row>
      <xdr:rowOff>0</xdr:rowOff>
    </xdr:from>
    <xdr:to>
      <xdr:col>10</xdr:col>
      <xdr:colOff>190500</xdr:colOff>
      <xdr:row>13</xdr:row>
      <xdr:rowOff>47625</xdr:rowOff>
    </xdr:to>
    <mc:AlternateContent xmlns:mc="http://schemas.openxmlformats.org/markup-compatibility/2006">
      <mc:Choice xmlns:a14="http://schemas.microsoft.com/office/drawing/2010/main" Requires="a14">
        <xdr:graphicFrame macro="">
          <xdr:nvGraphicFramePr>
            <xdr:cNvPr id="2" name="SALES PERSON">
              <a:extLst>
                <a:ext uri="{FF2B5EF4-FFF2-40B4-BE49-F238E27FC236}">
                  <a16:creationId xmlns:a16="http://schemas.microsoft.com/office/drawing/2014/main" id="{0F30F293-C51F-4CF7-A08F-04CE7029747F}"/>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638175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314325</xdr:colOff>
      <xdr:row>0</xdr:row>
      <xdr:rowOff>0</xdr:rowOff>
    </xdr:from>
    <xdr:to>
      <xdr:col>13</xdr:col>
      <xdr:colOff>314325</xdr:colOff>
      <xdr:row>13</xdr:row>
      <xdr:rowOff>47625</xdr:rowOff>
    </xdr:to>
    <mc:AlternateContent xmlns:mc="http://schemas.openxmlformats.org/markup-compatibility/2006">
      <mc:Choice xmlns:a14="http://schemas.microsoft.com/office/drawing/2010/main" Requires="a14">
        <xdr:graphicFrame macro="">
          <xdr:nvGraphicFramePr>
            <xdr:cNvPr id="3" name="REGION ">
              <a:extLst>
                <a:ext uri="{FF2B5EF4-FFF2-40B4-BE49-F238E27FC236}">
                  <a16:creationId xmlns:a16="http://schemas.microsoft.com/office/drawing/2014/main" id="{F9EE1B86-2777-4139-94A1-65097119655A}"/>
                </a:ext>
              </a:extLst>
            </xdr:cNvPr>
            <xdr:cNvGraphicFramePr/>
          </xdr:nvGraphicFramePr>
          <xdr:xfrm>
            <a:off x="0" y="0"/>
            <a:ext cx="0" cy="0"/>
          </xdr:xfrm>
          <a:graphic>
            <a:graphicData uri="http://schemas.microsoft.com/office/drawing/2010/slicer">
              <sle:slicer xmlns:sle="http://schemas.microsoft.com/office/drawing/2010/slicer" name="REGION "/>
            </a:graphicData>
          </a:graphic>
        </xdr:graphicFrame>
      </mc:Choice>
      <mc:Fallback>
        <xdr:sp macro="" textlink="">
          <xdr:nvSpPr>
            <xdr:cNvPr id="0" name=""/>
            <xdr:cNvSpPr>
              <a:spLocks noTextEdit="1"/>
            </xdr:cNvSpPr>
          </xdr:nvSpPr>
          <xdr:spPr>
            <a:xfrm>
              <a:off x="8334375"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438150</xdr:colOff>
      <xdr:row>0</xdr:row>
      <xdr:rowOff>0</xdr:rowOff>
    </xdr:from>
    <xdr:to>
      <xdr:col>16</xdr:col>
      <xdr:colOff>438150</xdr:colOff>
      <xdr:row>13</xdr:row>
      <xdr:rowOff>57150</xdr:rowOff>
    </xdr:to>
    <mc:AlternateContent xmlns:mc="http://schemas.openxmlformats.org/markup-compatibility/2006">
      <mc:Choice xmlns:a14="http://schemas.microsoft.com/office/drawing/2010/main" Requires="a14">
        <xdr:graphicFrame macro="">
          <xdr:nvGraphicFramePr>
            <xdr:cNvPr id="4" name="ORDERS">
              <a:extLst>
                <a:ext uri="{FF2B5EF4-FFF2-40B4-BE49-F238E27FC236}">
                  <a16:creationId xmlns:a16="http://schemas.microsoft.com/office/drawing/2014/main" id="{036BB949-51DB-4832-80E4-400D7B68AAB2}"/>
                </a:ext>
              </a:extLst>
            </xdr:cNvPr>
            <xdr:cNvGraphicFramePr/>
          </xdr:nvGraphicFramePr>
          <xdr:xfrm>
            <a:off x="0" y="0"/>
            <a:ext cx="0" cy="0"/>
          </xdr:xfrm>
          <a:graphic>
            <a:graphicData uri="http://schemas.microsoft.com/office/drawing/2010/slicer">
              <sle:slicer xmlns:sle="http://schemas.microsoft.com/office/drawing/2010/slicer" name="ORDERS"/>
            </a:graphicData>
          </a:graphic>
        </xdr:graphicFrame>
      </mc:Choice>
      <mc:Fallback>
        <xdr:sp macro="" textlink="">
          <xdr:nvSpPr>
            <xdr:cNvPr id="0" name=""/>
            <xdr:cNvSpPr>
              <a:spLocks noTextEdit="1"/>
            </xdr:cNvSpPr>
          </xdr:nvSpPr>
          <xdr:spPr>
            <a:xfrm>
              <a:off x="10287000" y="0"/>
              <a:ext cx="1828800" cy="2533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561975</xdr:colOff>
      <xdr:row>0</xdr:row>
      <xdr:rowOff>0</xdr:rowOff>
    </xdr:from>
    <xdr:to>
      <xdr:col>19</xdr:col>
      <xdr:colOff>561975</xdr:colOff>
      <xdr:row>13</xdr:row>
      <xdr:rowOff>47625</xdr:rowOff>
    </xdr:to>
    <mc:AlternateContent xmlns:mc="http://schemas.openxmlformats.org/markup-compatibility/2006">
      <mc:Choice xmlns:a14="http://schemas.microsoft.com/office/drawing/2010/main" Requires="a14">
        <xdr:graphicFrame macro="">
          <xdr:nvGraphicFramePr>
            <xdr:cNvPr id="5" name="TOTAL">
              <a:extLst>
                <a:ext uri="{FF2B5EF4-FFF2-40B4-BE49-F238E27FC236}">
                  <a16:creationId xmlns:a16="http://schemas.microsoft.com/office/drawing/2014/main" id="{F8EAA847-2B46-49A5-88D3-C3133FB692E7}"/>
                </a:ext>
              </a:extLst>
            </xdr:cNvPr>
            <xdr:cNvGraphicFramePr/>
          </xdr:nvGraphicFramePr>
          <xdr:xfrm>
            <a:off x="0" y="0"/>
            <a:ext cx="0" cy="0"/>
          </xdr:xfrm>
          <a:graphic>
            <a:graphicData uri="http://schemas.microsoft.com/office/drawing/2010/slicer">
              <sle:slicer xmlns:sle="http://schemas.microsoft.com/office/drawing/2010/slicer" name="TOTAL"/>
            </a:graphicData>
          </a:graphic>
        </xdr:graphicFrame>
      </mc:Choice>
      <mc:Fallback>
        <xdr:sp macro="" textlink="">
          <xdr:nvSpPr>
            <xdr:cNvPr id="0" name=""/>
            <xdr:cNvSpPr>
              <a:spLocks noTextEdit="1"/>
            </xdr:cNvSpPr>
          </xdr:nvSpPr>
          <xdr:spPr>
            <a:xfrm>
              <a:off x="12239625"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142875</xdr:colOff>
      <xdr:row>13</xdr:row>
      <xdr:rowOff>147637</xdr:rowOff>
    </xdr:from>
    <xdr:to>
      <xdr:col>18</xdr:col>
      <xdr:colOff>447675</xdr:colOff>
      <xdr:row>28</xdr:row>
      <xdr:rowOff>33337</xdr:rowOff>
    </xdr:to>
    <xdr:graphicFrame macro="">
      <xdr:nvGraphicFramePr>
        <xdr:cNvPr id="9" name="Chart 8">
          <a:extLst>
            <a:ext uri="{FF2B5EF4-FFF2-40B4-BE49-F238E27FC236}">
              <a16:creationId xmlns:a16="http://schemas.microsoft.com/office/drawing/2014/main" id="{A07ABCF2-F17F-F971-0133-88984E9E7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276225</xdr:colOff>
      <xdr:row>13</xdr:row>
      <xdr:rowOff>157162</xdr:rowOff>
    </xdr:from>
    <xdr:to>
      <xdr:col>10</xdr:col>
      <xdr:colOff>552450</xdr:colOff>
      <xdr:row>28</xdr:row>
      <xdr:rowOff>42862</xdr:rowOff>
    </xdr:to>
    <xdr:graphicFrame macro="">
      <xdr:nvGraphicFramePr>
        <xdr:cNvPr id="12" name="Chart 11">
          <a:extLst>
            <a:ext uri="{FF2B5EF4-FFF2-40B4-BE49-F238E27FC236}">
              <a16:creationId xmlns:a16="http://schemas.microsoft.com/office/drawing/2014/main" id="{5784B634-C8D8-53B7-C8B0-3A84BA844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0.26458</cdr:x>
      <cdr:y>0.05903</cdr:y>
    </cdr:from>
    <cdr:to>
      <cdr:x>0.81663</cdr:x>
      <cdr:y>0.22793</cdr:y>
    </cdr:to>
    <cdr:pic>
      <cdr:nvPicPr>
        <cdr:cNvPr id="2" name="chart">
          <a:extLst xmlns:a="http://schemas.openxmlformats.org/drawingml/2006/main">
            <a:ext uri="{FF2B5EF4-FFF2-40B4-BE49-F238E27FC236}">
              <a16:creationId xmlns:a16="http://schemas.microsoft.com/office/drawing/2014/main" id="{E35C6DA7-4F2F-2152-707B-5F2506790AC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209675" y="161925"/>
          <a:ext cx="2523963" cy="463336"/>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2" Type="http://schemas.openxmlformats.org/officeDocument/2006/relationships/externalLinkPath" Target="PIVOT%20TABL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61.856942013888" createdVersion="8" refreshedVersion="8" minRefreshableVersion="3" recordCount="12" xr:uid="{DA84BBB3-AD38-4F60-B046-379D0133E84F}">
  <cacheSource type="worksheet">
    <worksheetSource ref="A1:D13" sheet="Sheet1" r:id="rId2"/>
  </cacheSource>
  <cacheFields count="4">
    <cacheField name="SALES PERSON" numFmtId="0">
      <sharedItems count="4">
        <s v="ARUN"/>
        <s v="BALA"/>
        <s v="CHITRA"/>
        <s v="DEEPAK"/>
      </sharedItems>
    </cacheField>
    <cacheField name="REGION " numFmtId="0">
      <sharedItems count="4">
        <s v="NORTH"/>
        <s v="SOUTH"/>
        <s v="EAST"/>
        <s v="WEST"/>
      </sharedItems>
    </cacheField>
    <cacheField name="ORDERS" numFmtId="0">
      <sharedItems containsSemiMixedTypes="0" containsString="0" containsNumber="1" containsInteger="1" minValue="2" maxValue="7" count="6">
        <n v="5"/>
        <n v="3"/>
        <n v="4"/>
        <n v="6"/>
        <n v="2"/>
        <n v="7"/>
      </sharedItems>
    </cacheField>
    <cacheField name="TOTAL" numFmtId="0">
      <sharedItems containsSemiMixedTypes="0" containsString="0" containsNumber="1" containsInteger="1" minValue="12000" maxValue="35000" count="12">
        <n v="25000"/>
        <n v="18000"/>
        <n v="22000"/>
        <n v="30000"/>
        <n v="12000"/>
        <n v="27000"/>
        <n v="35000"/>
        <n v="24000"/>
        <n v="32000"/>
        <n v="15000"/>
        <n v="21000"/>
        <n v="28000"/>
      </sharedItems>
    </cacheField>
  </cacheFields>
  <extLst>
    <ext xmlns:x14="http://schemas.microsoft.com/office/spreadsheetml/2009/9/main" uri="{725AE2AE-9491-48be-B2B4-4EB974FC3084}">
      <x14:pivotCacheDefinition pivotCacheId="18156550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r>
  <r>
    <x v="0"/>
    <x v="1"/>
    <x v="1"/>
    <x v="1"/>
  </r>
  <r>
    <x v="1"/>
    <x v="2"/>
    <x v="2"/>
    <x v="2"/>
  </r>
  <r>
    <x v="1"/>
    <x v="3"/>
    <x v="3"/>
    <x v="3"/>
  </r>
  <r>
    <x v="2"/>
    <x v="0"/>
    <x v="4"/>
    <x v="4"/>
  </r>
  <r>
    <x v="2"/>
    <x v="1"/>
    <x v="0"/>
    <x v="5"/>
  </r>
  <r>
    <x v="3"/>
    <x v="2"/>
    <x v="5"/>
    <x v="6"/>
  </r>
  <r>
    <x v="3"/>
    <x v="3"/>
    <x v="2"/>
    <x v="7"/>
  </r>
  <r>
    <x v="0"/>
    <x v="2"/>
    <x v="3"/>
    <x v="8"/>
  </r>
  <r>
    <x v="1"/>
    <x v="1"/>
    <x v="1"/>
    <x v="9"/>
  </r>
  <r>
    <x v="2"/>
    <x v="3"/>
    <x v="2"/>
    <x v="10"/>
  </r>
  <r>
    <x v="3"/>
    <x v="0"/>
    <x v="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C2FF46-506F-4207-89D7-FD6E02C87CD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F8:G13" firstHeaderRow="1" firstDataRow="1" firstDataCol="1"/>
  <pivotFields count="4">
    <pivotField axis="axisRow" showAll="0">
      <items count="5">
        <item x="0"/>
        <item x="1"/>
        <item x="2"/>
        <item x="3"/>
        <item t="default"/>
      </items>
    </pivotField>
    <pivotField showAll="0">
      <items count="5">
        <item x="2"/>
        <item x="0"/>
        <item x="1"/>
        <item x="3"/>
        <item t="default"/>
      </items>
    </pivotField>
    <pivotField dataField="1" showAll="0">
      <items count="7">
        <item x="4"/>
        <item x="1"/>
        <item x="2"/>
        <item x="0"/>
        <item x="3"/>
        <item x="5"/>
        <item t="default"/>
      </items>
    </pivotField>
    <pivotField showAll="0">
      <items count="13">
        <item x="4"/>
        <item x="9"/>
        <item x="1"/>
        <item x="10"/>
        <item x="2"/>
        <item x="7"/>
        <item x="0"/>
        <item x="5"/>
        <item x="11"/>
        <item x="3"/>
        <item x="8"/>
        <item x="6"/>
        <item t="default"/>
      </items>
    </pivotField>
  </pivotFields>
  <rowFields count="1">
    <field x="0"/>
  </rowFields>
  <rowItems count="5">
    <i>
      <x/>
    </i>
    <i>
      <x v="1"/>
    </i>
    <i>
      <x v="2"/>
    </i>
    <i>
      <x v="3"/>
    </i>
    <i t="grand">
      <x/>
    </i>
  </rowItems>
  <colItems count="1">
    <i/>
  </colItems>
  <dataFields count="1">
    <dataField name="Sum of ORDERS" fld="2"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3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408D74-72CA-4A6A-9AB2-7946C93D69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1:G6" firstHeaderRow="1" firstDataRow="1" firstDataCol="1"/>
  <pivotFields count="4">
    <pivotField showAll="0">
      <items count="5">
        <item x="0"/>
        <item x="1"/>
        <item x="2"/>
        <item x="3"/>
        <item t="default"/>
      </items>
    </pivotField>
    <pivotField axis="axisRow" showAll="0" sortType="ascending">
      <items count="5">
        <item x="2"/>
        <item x="0"/>
        <item x="1"/>
        <item x="3"/>
        <item t="default"/>
      </items>
    </pivotField>
    <pivotField showAll="0">
      <items count="7">
        <item x="4"/>
        <item x="1"/>
        <item x="2"/>
        <item x="0"/>
        <item x="3"/>
        <item x="5"/>
        <item t="default"/>
      </items>
    </pivotField>
    <pivotField dataField="1" showAll="0">
      <items count="13">
        <item x="4"/>
        <item x="9"/>
        <item x="1"/>
        <item x="10"/>
        <item x="2"/>
        <item x="7"/>
        <item x="0"/>
        <item x="5"/>
        <item x="11"/>
        <item x="3"/>
        <item x="8"/>
        <item x="6"/>
        <item t="default"/>
      </items>
    </pivotField>
  </pivotFields>
  <rowFields count="1">
    <field x="1"/>
  </rowFields>
  <rowItems count="5">
    <i>
      <x/>
    </i>
    <i>
      <x v="1"/>
    </i>
    <i>
      <x v="2"/>
    </i>
    <i>
      <x v="3"/>
    </i>
    <i t="grand">
      <x/>
    </i>
  </rowItems>
  <colItems count="1">
    <i/>
  </colItems>
  <dataFields count="1">
    <dataField name="Sum of TOTAL" fld="3" baseField="0" baseItem="0"/>
  </dataFields>
  <chartFormats count="2">
    <chartFormat chart="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45C2B09A-C313-4F09-8D65-A3666C2E263A}" sourceName="SALES PERSON">
  <pivotTables>
    <pivotTable tabId="11" name="PivotTable1"/>
    <pivotTable tabId="11" name="PivotTable2"/>
  </pivotTables>
  <data>
    <tabular pivotCacheId="181565503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 xr10:uid="{6C82B460-362A-4B58-88B7-EE2E1E414E28}" sourceName="ORDERS">
  <pivotTables>
    <pivotTable tabId="11" name="PivotTable1"/>
    <pivotTable tabId="11" name="PivotTable2"/>
  </pivotTables>
  <data>
    <tabular pivotCacheId="1815655039">
      <items count="6">
        <i x="4" s="1"/>
        <i x="1" s="1"/>
        <i x="2" s="1"/>
        <i x="0"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 xr10:uid="{1D059661-982C-4ECB-8AA6-151BE1FC471A}" sourceName="TOTAL">
  <pivotTables>
    <pivotTable tabId="11" name="PivotTable1"/>
    <pivotTable tabId="11" name="PivotTable2"/>
  </pivotTables>
  <data>
    <tabular pivotCacheId="1815655039">
      <items count="12">
        <i x="4" s="1"/>
        <i x="9" s="1"/>
        <i x="1" s="1"/>
        <i x="10" s="1"/>
        <i x="2" s="1"/>
        <i x="7" s="1"/>
        <i x="0" s="1"/>
        <i x="5" s="1"/>
        <i x="11" s="1"/>
        <i x="3" s="1"/>
        <i x="8"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D3DD59-DBC7-43F3-89CD-6DDC387321D5}" sourceName="REGION ">
  <pivotTables>
    <pivotTable tabId="11" name="PivotTable1"/>
    <pivotTable tabId="11" name="PivotTable2"/>
  </pivotTables>
  <data>
    <tabular pivotCacheId="1815655039">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4FA68062-8FA3-4591-B122-39322689815D}" cache="Slicer_SALES_PERSON" caption="SALES PERSON" rowHeight="241300"/>
  <slicer name="ORDERS" xr10:uid="{791793B4-75DB-4EE4-9B8B-218CAFA1D433}" cache="Slicer_ORDERS" caption="ORDERS" rowHeight="241300"/>
  <slicer name="TOTAL" xr10:uid="{A63E0A68-941E-4AEA-AA7C-44C3C4908D98}" cache="Slicer_TOTAL" caption="TOTAL" rowHeight="241300"/>
  <slicer name="REGION " xr10:uid="{F3138167-835C-4BAB-B451-D484F2FBB254}" cache="Slicer_REGION" caption="REGION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C7C7F8-2E69-474D-8E9A-7C1F8249A45C}" name="Table3" displayName="Table3" ref="A1:G22" totalsRowShown="0" headerRowDxfId="9" tableBorderDxfId="8">
  <autoFilter ref="A1:G22" xr:uid="{9CC7C7F8-2E69-474D-8E9A-7C1F8249A45C}"/>
  <sortState xmlns:xlrd2="http://schemas.microsoft.com/office/spreadsheetml/2017/richdata2" ref="A2:G22">
    <sortCondition ref="A1:A22"/>
  </sortState>
  <tableColumns count="7">
    <tableColumn id="1" xr3:uid="{9E22AEA7-C54A-4438-BDC0-77D70ABC72BB}" name="      SALES PERSON" dataDxfId="7"/>
    <tableColumn id="2" xr3:uid="{9285127D-83CE-4951-80E1-682A897DDED0}" name="             REGION" dataDxfId="6"/>
    <tableColumn id="3" xr3:uid="{30063BB3-4536-4CDA-9D5A-34D333C218C1}" name=" PRODUCT CATEGORY" dataDxfId="5"/>
    <tableColumn id="4" xr3:uid="{0539230B-7B40-44A8-9767-62793C5E99DD}" name="                JAN" dataDxfId="4"/>
    <tableColumn id="5" xr3:uid="{91DF7BAB-FE0D-4C30-AB1A-EEA9CAD02C67}" name="                FEB" dataDxfId="3"/>
    <tableColumn id="6" xr3:uid="{2E6C66A7-23B4-4C24-922B-BB7C56BF9EC7}" name="            MARCH" dataDxfId="2"/>
    <tableColumn id="7" xr3:uid="{D9F9BFFC-F022-42C5-A00B-A98688A84738}" name="       TOTAL SALES" dataDxfId="1"/>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1990F5-FA03-4D92-AB17-CEBE514C0C65}" name="Table1" displayName="Table1" ref="A16:D28" totalsRowShown="0" headerRowDxfId="0">
  <autoFilter ref="A16:D28" xr:uid="{FE1990F5-FA03-4D92-AB17-CEBE514C0C65}"/>
  <tableColumns count="4">
    <tableColumn id="1" xr3:uid="{33E3B7A5-984D-4249-9D28-61BBBB69F063}" name="SALES PERSON"/>
    <tableColumn id="2" xr3:uid="{4948A6CB-16A5-4D7E-BD9D-0AD4E1FE9C50}" name="REGION "/>
    <tableColumn id="3" xr3:uid="{8163A963-C02A-4663-9E0C-EC58198F4226}" name="ORDERS"/>
    <tableColumn id="4" xr3:uid="{202D9FC4-3A36-4BD1-A790-33DD7B0A4495}" name="TOTAL"/>
  </tableColumns>
  <tableStyleInfo name="TableStyleLight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15E98-5B12-4ABC-9B2F-462A9BD4498C}">
  <dimension ref="A2:P15"/>
  <sheetViews>
    <sheetView workbookViewId="0">
      <selection activeCell="P7" sqref="P7"/>
    </sheetView>
  </sheetViews>
  <sheetFormatPr defaultRowHeight="15" x14ac:dyDescent="0.25"/>
  <sheetData>
    <row r="2" spans="1:16" x14ac:dyDescent="0.25">
      <c r="A2" t="s">
        <v>0</v>
      </c>
      <c r="B2" t="s">
        <v>1</v>
      </c>
      <c r="C2" t="s">
        <v>2</v>
      </c>
      <c r="D2" t="s">
        <v>3</v>
      </c>
      <c r="E2" t="s">
        <v>4</v>
      </c>
      <c r="F2" t="s">
        <v>5</v>
      </c>
      <c r="G2" t="s">
        <v>6</v>
      </c>
      <c r="H2" t="s">
        <v>7</v>
      </c>
      <c r="I2" t="s">
        <v>8</v>
      </c>
      <c r="J2" t="s">
        <v>9</v>
      </c>
      <c r="K2" t="s">
        <v>15</v>
      </c>
      <c r="M2" t="s">
        <v>23</v>
      </c>
      <c r="O2">
        <f>COUNT(A3:A7)</f>
        <v>5</v>
      </c>
    </row>
    <row r="3" spans="1:16" x14ac:dyDescent="0.25">
      <c r="A3">
        <v>1</v>
      </c>
      <c r="B3" t="s">
        <v>10</v>
      </c>
      <c r="C3" t="s">
        <v>18</v>
      </c>
      <c r="D3">
        <v>56</v>
      </c>
      <c r="E3">
        <v>90</v>
      </c>
      <c r="F3">
        <v>45</v>
      </c>
      <c r="G3">
        <v>89</v>
      </c>
      <c r="H3">
        <v>85</v>
      </c>
      <c r="I3">
        <f>SUM(C3:H3)</f>
        <v>365</v>
      </c>
      <c r="J3">
        <f>AVERAGE(C3:H3)</f>
        <v>73</v>
      </c>
      <c r="K3" t="str">
        <f>IF(AND(D3&gt;=35,E3&gt;=35,F3&gt;=35,G3&gt;=35,H3&gt;=35),"P","F")</f>
        <v>P</v>
      </c>
      <c r="M3" t="s">
        <v>24</v>
      </c>
      <c r="O3">
        <f>COUNTIF(K3:K7,"P")</f>
        <v>4</v>
      </c>
    </row>
    <row r="4" spans="1:16" x14ac:dyDescent="0.25">
      <c r="A4">
        <v>2</v>
      </c>
      <c r="B4" t="s">
        <v>14</v>
      </c>
      <c r="C4" t="s">
        <v>19</v>
      </c>
      <c r="D4">
        <v>30</v>
      </c>
      <c r="E4">
        <v>70</v>
      </c>
      <c r="F4">
        <v>45</v>
      </c>
      <c r="G4">
        <v>55</v>
      </c>
      <c r="H4">
        <v>80</v>
      </c>
      <c r="I4">
        <f t="shared" ref="I4:I7" si="0">SUM(C4:H4)</f>
        <v>280</v>
      </c>
      <c r="J4">
        <f t="shared" ref="J4:J7" si="1">AVERAGE(C4:H4)</f>
        <v>56</v>
      </c>
      <c r="K4" t="str">
        <f t="shared" ref="K4:K7" si="2">IF(AND(D4&gt;=35,E4&gt;=35,F4&gt;=35,G4&gt;=35,H4&gt;=35),"P","F")</f>
        <v>F</v>
      </c>
      <c r="M4" t="s">
        <v>25</v>
      </c>
      <c r="O4">
        <f>COUNTIF(K3:K7,"F")</f>
        <v>1</v>
      </c>
    </row>
    <row r="5" spans="1:16" x14ac:dyDescent="0.25">
      <c r="A5">
        <v>3</v>
      </c>
      <c r="B5" t="s">
        <v>11</v>
      </c>
      <c r="C5" t="s">
        <v>20</v>
      </c>
      <c r="D5">
        <v>75</v>
      </c>
      <c r="E5">
        <v>45</v>
      </c>
      <c r="F5">
        <v>55</v>
      </c>
      <c r="G5">
        <v>88</v>
      </c>
      <c r="H5">
        <v>90</v>
      </c>
      <c r="I5">
        <f t="shared" si="0"/>
        <v>353</v>
      </c>
      <c r="J5">
        <f t="shared" si="1"/>
        <v>70.599999999999994</v>
      </c>
      <c r="K5" t="str">
        <f t="shared" si="2"/>
        <v>P</v>
      </c>
    </row>
    <row r="6" spans="1:16" x14ac:dyDescent="0.25">
      <c r="A6">
        <v>4</v>
      </c>
      <c r="B6" t="s">
        <v>12</v>
      </c>
      <c r="C6" t="s">
        <v>21</v>
      </c>
      <c r="D6">
        <v>40</v>
      </c>
      <c r="E6">
        <v>61</v>
      </c>
      <c r="F6">
        <v>42</v>
      </c>
      <c r="G6">
        <v>53</v>
      </c>
      <c r="H6">
        <v>45</v>
      </c>
      <c r="I6">
        <f t="shared" si="0"/>
        <v>241</v>
      </c>
      <c r="J6">
        <f t="shared" si="1"/>
        <v>48.2</v>
      </c>
      <c r="K6" t="str">
        <f t="shared" si="2"/>
        <v>P</v>
      </c>
      <c r="M6" t="s">
        <v>26</v>
      </c>
      <c r="P6">
        <f>COUNTIF(J3:J7,"&gt;=80")</f>
        <v>1</v>
      </c>
    </row>
    <row r="7" spans="1:16" x14ac:dyDescent="0.25">
      <c r="A7">
        <v>5</v>
      </c>
      <c r="B7" t="s">
        <v>13</v>
      </c>
      <c r="C7" t="s">
        <v>22</v>
      </c>
      <c r="D7">
        <v>90</v>
      </c>
      <c r="E7">
        <v>85</v>
      </c>
      <c r="F7">
        <v>86</v>
      </c>
      <c r="G7">
        <v>92</v>
      </c>
      <c r="H7">
        <v>70</v>
      </c>
      <c r="I7">
        <f t="shared" si="0"/>
        <v>423</v>
      </c>
      <c r="J7">
        <f t="shared" si="1"/>
        <v>84.6</v>
      </c>
      <c r="K7" t="str">
        <f t="shared" si="2"/>
        <v>P</v>
      </c>
      <c r="M7" t="s">
        <v>27</v>
      </c>
      <c r="N7" t="s">
        <v>28</v>
      </c>
      <c r="P7">
        <f>(O3/O2)*100</f>
        <v>80</v>
      </c>
    </row>
    <row r="9" spans="1:16" x14ac:dyDescent="0.25">
      <c r="C9" t="s">
        <v>16</v>
      </c>
      <c r="D9">
        <f>MIN(D3:D7)</f>
        <v>30</v>
      </c>
      <c r="E9">
        <f t="shared" ref="E9:H9" si="3">MIN(E3:E7)</f>
        <v>45</v>
      </c>
      <c r="F9">
        <f t="shared" si="3"/>
        <v>42</v>
      </c>
      <c r="G9">
        <f t="shared" si="3"/>
        <v>53</v>
      </c>
      <c r="H9">
        <f t="shared" si="3"/>
        <v>45</v>
      </c>
    </row>
    <row r="10" spans="1:16" x14ac:dyDescent="0.25">
      <c r="C10" t="s">
        <v>17</v>
      </c>
      <c r="D10">
        <f>MAX(D3:D7)</f>
        <v>90</v>
      </c>
      <c r="E10">
        <f t="shared" ref="E10:H10" si="4">MAX(E3:E7)</f>
        <v>90</v>
      </c>
      <c r="F10">
        <f t="shared" si="4"/>
        <v>86</v>
      </c>
      <c r="G10">
        <f t="shared" si="4"/>
        <v>92</v>
      </c>
      <c r="H10">
        <f t="shared" si="4"/>
        <v>90</v>
      </c>
    </row>
    <row r="13" spans="1:16" x14ac:dyDescent="0.25">
      <c r="J13" s="1"/>
      <c r="K13" s="2"/>
    </row>
    <row r="14" spans="1:16" x14ac:dyDescent="0.25">
      <c r="K14" s="2"/>
    </row>
    <row r="15" spans="1:16" x14ac:dyDescent="0.25">
      <c r="J15" s="1"/>
      <c r="K1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C4CE9-66DF-4CDA-8885-A2520F2A2DF2}">
  <dimension ref="A1:C6"/>
  <sheetViews>
    <sheetView workbookViewId="0">
      <selection activeCell="C2" sqref="C2"/>
    </sheetView>
  </sheetViews>
  <sheetFormatPr defaultRowHeight="15" x14ac:dyDescent="0.25"/>
  <cols>
    <col min="1" max="1" width="18.140625" customWidth="1"/>
    <col min="2" max="2" width="18.28515625" customWidth="1"/>
    <col min="3" max="3" width="18.7109375" customWidth="1"/>
  </cols>
  <sheetData>
    <row r="1" spans="1:3" x14ac:dyDescent="0.25">
      <c r="A1" s="5" t="s">
        <v>29</v>
      </c>
      <c r="B1" s="5" t="s">
        <v>30</v>
      </c>
      <c r="C1" t="s">
        <v>31</v>
      </c>
    </row>
    <row r="2" spans="1:3" x14ac:dyDescent="0.25">
      <c r="A2" s="4" t="s">
        <v>10</v>
      </c>
      <c r="B2" s="6">
        <v>0.72599999999999998</v>
      </c>
      <c r="C2" t="str">
        <f>IF(B2&gt;=70%,"ELIGIBLE","NOT ELIGIBLE")</f>
        <v>ELIGIBLE</v>
      </c>
    </row>
    <row r="3" spans="1:3" x14ac:dyDescent="0.25">
      <c r="A3" s="4" t="s">
        <v>14</v>
      </c>
      <c r="B3" s="7">
        <v>0.56000000000000005</v>
      </c>
      <c r="C3" t="str">
        <f t="shared" ref="C3:C6" si="0">IF(B3&gt;=70%,"ELIGIBLE","NOT ELIGIBLE")</f>
        <v>NOT ELIGIBLE</v>
      </c>
    </row>
    <row r="4" spans="1:3" x14ac:dyDescent="0.25">
      <c r="A4" s="4" t="s">
        <v>11</v>
      </c>
      <c r="B4" s="6">
        <v>0.70599999999999996</v>
      </c>
      <c r="C4" t="str">
        <f t="shared" si="0"/>
        <v>ELIGIBLE</v>
      </c>
    </row>
    <row r="5" spans="1:3" x14ac:dyDescent="0.25">
      <c r="A5" s="4" t="s">
        <v>12</v>
      </c>
      <c r="B5" s="6">
        <v>0.48199999999999998</v>
      </c>
      <c r="C5" t="str">
        <f t="shared" si="0"/>
        <v>NOT ELIGIBLE</v>
      </c>
    </row>
    <row r="6" spans="1:3" x14ac:dyDescent="0.25">
      <c r="A6" s="4" t="s">
        <v>13</v>
      </c>
      <c r="B6" s="6">
        <v>0.84599999999999997</v>
      </c>
      <c r="C6" t="str">
        <f t="shared" si="0"/>
        <v>ELIGIBLE</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CD66C-48F1-43A7-97A4-98B94F6758FC}">
  <dimension ref="A1:I17"/>
  <sheetViews>
    <sheetView workbookViewId="0">
      <selection activeCell="I2" sqref="I2"/>
    </sheetView>
  </sheetViews>
  <sheetFormatPr defaultRowHeight="15" x14ac:dyDescent="0.25"/>
  <cols>
    <col min="1" max="1" width="18.140625" customWidth="1"/>
    <col min="2" max="2" width="18.5703125" customWidth="1"/>
    <col min="3" max="3" width="22.5703125" customWidth="1"/>
    <col min="4" max="4" width="31.85546875" customWidth="1"/>
    <col min="7" max="7" width="20.85546875" customWidth="1"/>
    <col min="8" max="8" width="21" customWidth="1"/>
    <col min="9" max="9" width="20.28515625" customWidth="1"/>
  </cols>
  <sheetData>
    <row r="1" spans="1:9" x14ac:dyDescent="0.25">
      <c r="A1" s="9" t="s">
        <v>32</v>
      </c>
      <c r="B1" s="9" t="s">
        <v>33</v>
      </c>
      <c r="C1" s="9" t="s">
        <v>34</v>
      </c>
      <c r="D1" s="9" t="s">
        <v>35</v>
      </c>
      <c r="G1" s="9" t="s">
        <v>32</v>
      </c>
      <c r="H1" s="9" t="s">
        <v>43</v>
      </c>
      <c r="I1" s="9" t="s">
        <v>44</v>
      </c>
    </row>
    <row r="2" spans="1:9" x14ac:dyDescent="0.25">
      <c r="A2" s="8" t="s">
        <v>37</v>
      </c>
      <c r="B2" s="8" t="s">
        <v>40</v>
      </c>
      <c r="C2" s="8">
        <v>484</v>
      </c>
      <c r="D2" s="10">
        <v>15972</v>
      </c>
      <c r="G2" s="8" t="s">
        <v>39</v>
      </c>
      <c r="H2" s="8"/>
      <c r="I2" s="8">
        <f>SUMIFS(D2:D11,A2:A11,G2)</f>
        <v>63755</v>
      </c>
    </row>
    <row r="3" spans="1:9" x14ac:dyDescent="0.25">
      <c r="A3" s="8" t="s">
        <v>39</v>
      </c>
      <c r="B3" s="8" t="s">
        <v>41</v>
      </c>
      <c r="C3" s="8">
        <v>450</v>
      </c>
      <c r="D3" s="10">
        <v>15973</v>
      </c>
      <c r="G3" s="8"/>
      <c r="H3" s="8"/>
      <c r="I3" s="8"/>
    </row>
    <row r="4" spans="1:9" x14ac:dyDescent="0.25">
      <c r="A4" s="8" t="s">
        <v>36</v>
      </c>
      <c r="B4" s="8" t="s">
        <v>84</v>
      </c>
      <c r="C4" s="8">
        <v>320</v>
      </c>
      <c r="D4" s="10">
        <v>15974</v>
      </c>
      <c r="G4" s="8" t="s">
        <v>38</v>
      </c>
      <c r="H4" s="8" t="s">
        <v>45</v>
      </c>
      <c r="I4" s="8">
        <f>SUMIFS(D2:D11,A2:A11,G4,C2:C11,H4)</f>
        <v>15944</v>
      </c>
    </row>
    <row r="5" spans="1:9" x14ac:dyDescent="0.25">
      <c r="A5" s="8" t="s">
        <v>37</v>
      </c>
      <c r="B5" s="8" t="s">
        <v>42</v>
      </c>
      <c r="C5" s="8">
        <v>530</v>
      </c>
      <c r="D5" s="10">
        <v>15834</v>
      </c>
      <c r="G5" s="8"/>
      <c r="H5" s="8"/>
      <c r="I5" s="8"/>
    </row>
    <row r="6" spans="1:9" x14ac:dyDescent="0.25">
      <c r="A6" s="8" t="s">
        <v>38</v>
      </c>
      <c r="B6" s="8" t="s">
        <v>41</v>
      </c>
      <c r="C6" s="8">
        <v>120</v>
      </c>
      <c r="D6" s="10">
        <v>15984</v>
      </c>
      <c r="G6" s="8"/>
      <c r="H6" s="8"/>
      <c r="I6" s="8"/>
    </row>
    <row r="7" spans="1:9" x14ac:dyDescent="0.25">
      <c r="A7" s="8" t="s">
        <v>39</v>
      </c>
      <c r="B7" s="8" t="s">
        <v>40</v>
      </c>
      <c r="C7" s="8">
        <v>200</v>
      </c>
      <c r="D7" s="10">
        <v>15934</v>
      </c>
      <c r="G7" s="8"/>
      <c r="H7" s="8"/>
      <c r="I7" s="8"/>
    </row>
    <row r="8" spans="1:9" x14ac:dyDescent="0.25">
      <c r="A8" s="8" t="s">
        <v>37</v>
      </c>
      <c r="B8" s="8" t="s">
        <v>42</v>
      </c>
      <c r="C8" s="8">
        <v>300</v>
      </c>
      <c r="D8" s="10">
        <v>15924</v>
      </c>
      <c r="G8" s="8"/>
      <c r="H8" s="8"/>
      <c r="I8" s="8"/>
    </row>
    <row r="9" spans="1:9" x14ac:dyDescent="0.25">
      <c r="A9" s="8" t="s">
        <v>39</v>
      </c>
      <c r="B9" s="8" t="s">
        <v>84</v>
      </c>
      <c r="C9" s="8">
        <v>250</v>
      </c>
      <c r="D9" s="10">
        <v>15933</v>
      </c>
      <c r="G9" s="8"/>
      <c r="H9" s="8"/>
      <c r="I9" s="8"/>
    </row>
    <row r="10" spans="1:9" x14ac:dyDescent="0.25">
      <c r="A10" s="8" t="s">
        <v>38</v>
      </c>
      <c r="B10" s="8" t="s">
        <v>84</v>
      </c>
      <c r="C10" s="8">
        <v>550</v>
      </c>
      <c r="D10" s="10">
        <v>15944</v>
      </c>
      <c r="G10" s="8"/>
      <c r="H10" s="8"/>
      <c r="I10" s="8"/>
    </row>
    <row r="11" spans="1:9" x14ac:dyDescent="0.25">
      <c r="A11" s="8" t="s">
        <v>39</v>
      </c>
      <c r="B11" s="8" t="s">
        <v>42</v>
      </c>
      <c r="C11" s="8">
        <v>323</v>
      </c>
      <c r="D11" s="10">
        <v>15915</v>
      </c>
      <c r="G11" s="8"/>
      <c r="H11" s="8"/>
      <c r="I11" s="8"/>
    </row>
    <row r="12" spans="1:9" x14ac:dyDescent="0.25">
      <c r="A12" s="8"/>
      <c r="B12" s="8"/>
      <c r="C12" s="8"/>
      <c r="D12" s="8"/>
    </row>
    <row r="13" spans="1:9" x14ac:dyDescent="0.25">
      <c r="A13" s="8"/>
      <c r="B13" s="8"/>
      <c r="D13" s="8"/>
    </row>
    <row r="14" spans="1:9" x14ac:dyDescent="0.25">
      <c r="A14" s="8"/>
      <c r="B14" s="8"/>
      <c r="C14" s="8"/>
      <c r="D14" s="8"/>
    </row>
    <row r="15" spans="1:9" x14ac:dyDescent="0.25">
      <c r="A15" s="8"/>
      <c r="B15" s="8"/>
      <c r="C15" s="8"/>
      <c r="D15" s="8"/>
    </row>
    <row r="16" spans="1:9" x14ac:dyDescent="0.25">
      <c r="A16" s="8"/>
      <c r="B16" s="8"/>
      <c r="C16" s="8"/>
      <c r="D16" s="8"/>
    </row>
    <row r="17" spans="1:4" x14ac:dyDescent="0.25">
      <c r="A17" s="8"/>
      <c r="B17" s="8"/>
      <c r="C17" s="8"/>
      <c r="D17" s="8"/>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4B6D6-CC76-4AF7-83B3-FFF33C641443}">
  <dimension ref="A1:H11"/>
  <sheetViews>
    <sheetView workbookViewId="0">
      <selection activeCell="H2" sqref="H2"/>
    </sheetView>
  </sheetViews>
  <sheetFormatPr defaultRowHeight="15" x14ac:dyDescent="0.25"/>
  <cols>
    <col min="1" max="1" width="18.7109375" customWidth="1"/>
    <col min="2" max="2" width="18.28515625" customWidth="1"/>
    <col min="3" max="3" width="18" customWidth="1"/>
    <col min="4" max="4" width="23.42578125" customWidth="1"/>
    <col min="6" max="6" width="18.28515625" customWidth="1"/>
    <col min="7" max="7" width="22.7109375" customWidth="1"/>
    <col min="8" max="8" width="21" customWidth="1"/>
  </cols>
  <sheetData>
    <row r="1" spans="1:8" x14ac:dyDescent="0.25">
      <c r="A1" s="9" t="s">
        <v>32</v>
      </c>
      <c r="B1" s="9" t="s">
        <v>33</v>
      </c>
      <c r="C1" s="9" t="s">
        <v>34</v>
      </c>
      <c r="D1" s="9" t="s">
        <v>35</v>
      </c>
      <c r="F1" s="13" t="s">
        <v>33</v>
      </c>
      <c r="G1" s="13" t="s">
        <v>47</v>
      </c>
      <c r="H1" s="13" t="s">
        <v>48</v>
      </c>
    </row>
    <row r="2" spans="1:8" x14ac:dyDescent="0.25">
      <c r="A2" s="11" t="s">
        <v>37</v>
      </c>
      <c r="B2" s="11" t="s">
        <v>40</v>
      </c>
      <c r="C2" s="11">
        <v>484</v>
      </c>
      <c r="D2" s="12">
        <v>15972</v>
      </c>
      <c r="F2" s="8" t="s">
        <v>40</v>
      </c>
      <c r="G2" s="8" t="s">
        <v>49</v>
      </c>
      <c r="H2" s="8">
        <f>COUNTIFS(B2:B11,F2,C2:C11,G2)</f>
        <v>2</v>
      </c>
    </row>
    <row r="3" spans="1:8" x14ac:dyDescent="0.25">
      <c r="A3" s="11" t="s">
        <v>39</v>
      </c>
      <c r="B3" s="11" t="s">
        <v>41</v>
      </c>
      <c r="C3" s="11">
        <v>450</v>
      </c>
      <c r="D3" s="12">
        <v>15973</v>
      </c>
      <c r="F3" s="8"/>
      <c r="G3" s="8"/>
      <c r="H3" s="8"/>
    </row>
    <row r="4" spans="1:8" x14ac:dyDescent="0.25">
      <c r="A4" s="11" t="s">
        <v>36</v>
      </c>
      <c r="B4" s="11" t="s">
        <v>84</v>
      </c>
      <c r="C4" s="11">
        <v>320</v>
      </c>
      <c r="D4" s="12">
        <v>15974</v>
      </c>
      <c r="F4" s="8"/>
      <c r="G4" s="8"/>
      <c r="H4" s="8"/>
    </row>
    <row r="5" spans="1:8" x14ac:dyDescent="0.25">
      <c r="A5" s="11" t="s">
        <v>37</v>
      </c>
      <c r="B5" s="11" t="s">
        <v>42</v>
      </c>
      <c r="C5" s="11">
        <v>530</v>
      </c>
      <c r="D5" s="12">
        <v>15834</v>
      </c>
      <c r="F5" s="8"/>
      <c r="G5" s="8"/>
      <c r="H5" s="8"/>
    </row>
    <row r="6" spans="1:8" x14ac:dyDescent="0.25">
      <c r="A6" s="11" t="s">
        <v>38</v>
      </c>
      <c r="B6" s="11" t="s">
        <v>41</v>
      </c>
      <c r="C6" s="11">
        <v>120</v>
      </c>
      <c r="D6" s="12">
        <v>15984</v>
      </c>
      <c r="F6" s="8"/>
      <c r="G6" s="8"/>
      <c r="H6" s="8"/>
    </row>
    <row r="7" spans="1:8" x14ac:dyDescent="0.25">
      <c r="A7" s="11" t="s">
        <v>39</v>
      </c>
      <c r="B7" s="11" t="s">
        <v>40</v>
      </c>
      <c r="C7" s="11">
        <v>200</v>
      </c>
      <c r="D7" s="12">
        <v>15934</v>
      </c>
      <c r="F7" s="8"/>
      <c r="G7" s="8"/>
      <c r="H7" s="8"/>
    </row>
    <row r="8" spans="1:8" x14ac:dyDescent="0.25">
      <c r="A8" s="11" t="s">
        <v>37</v>
      </c>
      <c r="B8" s="11" t="s">
        <v>42</v>
      </c>
      <c r="C8" s="11">
        <v>300</v>
      </c>
      <c r="D8" s="12">
        <v>15924</v>
      </c>
      <c r="F8" s="8"/>
      <c r="G8" s="8"/>
      <c r="H8" s="8"/>
    </row>
    <row r="9" spans="1:8" x14ac:dyDescent="0.25">
      <c r="A9" s="11" t="s">
        <v>39</v>
      </c>
      <c r="B9" s="11" t="s">
        <v>84</v>
      </c>
      <c r="C9" s="11">
        <v>250</v>
      </c>
      <c r="D9" s="12">
        <v>15933</v>
      </c>
      <c r="F9" s="8" t="s">
        <v>46</v>
      </c>
      <c r="G9" s="8"/>
      <c r="H9" s="8"/>
    </row>
    <row r="10" spans="1:8" x14ac:dyDescent="0.25">
      <c r="A10" s="11" t="s">
        <v>38</v>
      </c>
      <c r="B10" s="11" t="s">
        <v>84</v>
      </c>
      <c r="C10" s="11">
        <v>550</v>
      </c>
      <c r="D10" s="12">
        <v>15944</v>
      </c>
      <c r="F10" s="8"/>
      <c r="G10" s="8"/>
      <c r="H10" s="8"/>
    </row>
    <row r="11" spans="1:8" x14ac:dyDescent="0.25">
      <c r="A11" s="11" t="s">
        <v>39</v>
      </c>
      <c r="B11" s="11" t="s">
        <v>42</v>
      </c>
      <c r="C11" s="11">
        <v>323</v>
      </c>
      <c r="D11" s="12">
        <v>15915</v>
      </c>
      <c r="F11" s="8"/>
      <c r="G11" s="8"/>
      <c r="H11" s="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0719A-4F80-4553-960F-3E002BB6830C}">
  <dimension ref="A10:E24"/>
  <sheetViews>
    <sheetView topLeftCell="A9" workbookViewId="0">
      <selection activeCell="A11" sqref="A11:A20"/>
    </sheetView>
  </sheetViews>
  <sheetFormatPr defaultRowHeight="15" x14ac:dyDescent="0.25"/>
  <cols>
    <col min="1" max="1" width="14" customWidth="1"/>
    <col min="2" max="2" width="15.7109375" customWidth="1"/>
    <col min="3" max="3" width="16.28515625" customWidth="1"/>
    <col min="4" max="4" width="19.7109375" customWidth="1"/>
    <col min="5" max="5" width="16.140625" customWidth="1"/>
  </cols>
  <sheetData>
    <row r="10" spans="1:5" x14ac:dyDescent="0.25">
      <c r="A10" s="14" t="s">
        <v>50</v>
      </c>
      <c r="B10" s="14" t="s">
        <v>51</v>
      </c>
      <c r="C10" s="14" t="s">
        <v>52</v>
      </c>
      <c r="D10" s="14" t="s">
        <v>53</v>
      </c>
      <c r="E10" s="14" t="s">
        <v>54</v>
      </c>
    </row>
    <row r="11" spans="1:5" x14ac:dyDescent="0.25">
      <c r="A11" s="11">
        <v>65002</v>
      </c>
      <c r="B11" s="8" t="s">
        <v>55</v>
      </c>
      <c r="C11" s="11">
        <v>5</v>
      </c>
      <c r="D11" s="8">
        <v>120</v>
      </c>
      <c r="E11" s="8"/>
    </row>
    <row r="12" spans="1:5" x14ac:dyDescent="0.25">
      <c r="A12" s="11">
        <v>50063</v>
      </c>
      <c r="B12" s="8" t="s">
        <v>56</v>
      </c>
      <c r="C12" s="11">
        <v>6</v>
      </c>
      <c r="D12" s="8">
        <v>68</v>
      </c>
      <c r="E12" s="8"/>
    </row>
    <row r="13" spans="1:5" x14ac:dyDescent="0.25">
      <c r="A13" s="11">
        <v>36065</v>
      </c>
      <c r="B13" s="8" t="s">
        <v>57</v>
      </c>
      <c r="C13" s="11">
        <v>3</v>
      </c>
      <c r="D13" s="8">
        <v>35</v>
      </c>
      <c r="E13" s="8"/>
    </row>
    <row r="14" spans="1:5" x14ac:dyDescent="0.25">
      <c r="A14" s="11">
        <v>43583</v>
      </c>
      <c r="B14" s="8" t="s">
        <v>58</v>
      </c>
      <c r="C14" s="11">
        <v>4</v>
      </c>
      <c r="D14" s="8">
        <v>25</v>
      </c>
      <c r="E14" s="8"/>
    </row>
    <row r="15" spans="1:5" x14ac:dyDescent="0.25">
      <c r="A15" s="11">
        <v>22938</v>
      </c>
      <c r="B15" s="8" t="s">
        <v>55</v>
      </c>
      <c r="C15" s="11">
        <v>8</v>
      </c>
      <c r="D15" s="8">
        <v>120</v>
      </c>
      <c r="E15" s="8"/>
    </row>
    <row r="16" spans="1:5" x14ac:dyDescent="0.25">
      <c r="A16" s="11">
        <v>17458</v>
      </c>
      <c r="B16" s="8" t="s">
        <v>56</v>
      </c>
      <c r="C16" s="11">
        <v>9</v>
      </c>
      <c r="D16" s="8">
        <v>68</v>
      </c>
      <c r="E16" s="8"/>
    </row>
    <row r="17" spans="1:5" x14ac:dyDescent="0.25">
      <c r="A17" s="11">
        <v>65232</v>
      </c>
      <c r="B17" s="8" t="s">
        <v>59</v>
      </c>
      <c r="C17" s="11">
        <v>7</v>
      </c>
      <c r="D17" s="8">
        <v>110</v>
      </c>
      <c r="E17" s="8"/>
    </row>
    <row r="18" spans="1:5" x14ac:dyDescent="0.25">
      <c r="A18" s="11">
        <v>45252</v>
      </c>
      <c r="B18" s="8" t="s">
        <v>60</v>
      </c>
      <c r="C18" s="11">
        <v>3</v>
      </c>
      <c r="D18" s="8">
        <v>95</v>
      </c>
      <c r="E18" s="8"/>
    </row>
    <row r="19" spans="1:5" x14ac:dyDescent="0.25">
      <c r="A19" s="11">
        <v>14758</v>
      </c>
      <c r="B19" s="8" t="s">
        <v>61</v>
      </c>
      <c r="C19" s="11">
        <v>2</v>
      </c>
      <c r="D19" s="8">
        <v>68</v>
      </c>
      <c r="E19" s="8"/>
    </row>
    <row r="20" spans="1:5" x14ac:dyDescent="0.25">
      <c r="A20" s="11">
        <v>24218</v>
      </c>
      <c r="B20" s="8" t="s">
        <v>62</v>
      </c>
      <c r="C20" s="11">
        <v>3</v>
      </c>
      <c r="D20" s="8">
        <v>45</v>
      </c>
      <c r="E20" s="8"/>
    </row>
    <row r="21" spans="1:5" x14ac:dyDescent="0.25">
      <c r="A21" s="8"/>
      <c r="B21" s="8"/>
      <c r="C21" s="8"/>
      <c r="D21" s="8" t="s">
        <v>63</v>
      </c>
      <c r="E21" s="8">
        <v>4111</v>
      </c>
    </row>
    <row r="24" spans="1:5" x14ac:dyDescent="0.25">
      <c r="E24">
        <f>SUMPRODUCT(C11:C20,D11:D20)</f>
        <v>4111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01930-E6C8-4E8E-85E2-BC6A421F4102}">
  <dimension ref="A8:E10"/>
  <sheetViews>
    <sheetView workbookViewId="0">
      <selection activeCell="E9" sqref="E9"/>
    </sheetView>
  </sheetViews>
  <sheetFormatPr defaultRowHeight="15" x14ac:dyDescent="0.25"/>
  <cols>
    <col min="1" max="1" width="18.28515625" customWidth="1"/>
    <col min="2" max="2" width="18" customWidth="1"/>
    <col min="3" max="3" width="16" customWidth="1"/>
    <col min="4" max="4" width="26.140625" customWidth="1"/>
  </cols>
  <sheetData>
    <row r="8" spans="1:5" x14ac:dyDescent="0.25">
      <c r="A8" s="15" t="s">
        <v>64</v>
      </c>
      <c r="B8" s="15" t="s">
        <v>65</v>
      </c>
      <c r="C8" s="15" t="s">
        <v>66</v>
      </c>
      <c r="D8" s="15" t="s">
        <v>85</v>
      </c>
    </row>
    <row r="9" spans="1:5" x14ac:dyDescent="0.25">
      <c r="A9" s="8" t="s">
        <v>67</v>
      </c>
      <c r="B9" s="8" t="s">
        <v>69</v>
      </c>
      <c r="C9" s="8" t="s">
        <v>70</v>
      </c>
      <c r="D9" s="8" t="str">
        <f>_xlfn.CONCAT(A9,B9,C9)</f>
        <v>MICHAELWSMITH</v>
      </c>
      <c r="E9" t="str">
        <f>_xlfn.CONCAT(A9," ",B9," ",C9)</f>
        <v>MICHAEL W SMITH</v>
      </c>
    </row>
    <row r="10" spans="1:5" x14ac:dyDescent="0.25">
      <c r="A10" s="8" t="s">
        <v>68</v>
      </c>
      <c r="B10" s="8"/>
      <c r="C10" s="8" t="s">
        <v>71</v>
      </c>
      <c r="D10" s="8" t="str">
        <f>_xlfn.TEXTJOIN(" ",TRUE,A10,C10)</f>
        <v>HENRY FORD</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48F06-C43E-4E31-AEE4-35C08AB9898E}">
  <dimension ref="A4:E11"/>
  <sheetViews>
    <sheetView workbookViewId="0">
      <selection activeCell="B11" sqref="B11"/>
    </sheetView>
  </sheetViews>
  <sheetFormatPr defaultRowHeight="15" x14ac:dyDescent="0.25"/>
  <cols>
    <col min="1" max="1" width="18.140625" customWidth="1"/>
    <col min="2" max="2" width="17" customWidth="1"/>
    <col min="3" max="3" width="16.42578125" customWidth="1"/>
    <col min="4" max="4" width="16.140625" customWidth="1"/>
  </cols>
  <sheetData>
    <row r="4" spans="1:5" x14ac:dyDescent="0.25">
      <c r="A4" s="18" t="s">
        <v>73</v>
      </c>
      <c r="B4" s="8" t="s">
        <v>76</v>
      </c>
      <c r="C4" s="8" t="s">
        <v>77</v>
      </c>
      <c r="D4" s="8" t="s">
        <v>78</v>
      </c>
      <c r="E4" s="8" t="s">
        <v>79</v>
      </c>
    </row>
    <row r="5" spans="1:5" x14ac:dyDescent="0.25">
      <c r="A5" s="18" t="s">
        <v>74</v>
      </c>
      <c r="B5" s="8" t="s">
        <v>80</v>
      </c>
      <c r="C5" s="8" t="s">
        <v>81</v>
      </c>
      <c r="D5" s="8" t="s">
        <v>82</v>
      </c>
      <c r="E5" s="8" t="s">
        <v>83</v>
      </c>
    </row>
    <row r="6" spans="1:5" x14ac:dyDescent="0.25">
      <c r="A6" s="18" t="s">
        <v>75</v>
      </c>
      <c r="B6" s="17">
        <v>15350</v>
      </c>
      <c r="C6" s="17">
        <v>1820</v>
      </c>
      <c r="D6" s="17">
        <v>4955</v>
      </c>
      <c r="E6" s="17">
        <v>2566</v>
      </c>
    </row>
    <row r="10" spans="1:5" x14ac:dyDescent="0.25">
      <c r="A10" s="19" t="s">
        <v>73</v>
      </c>
      <c r="B10" t="s">
        <v>78</v>
      </c>
    </row>
    <row r="11" spans="1:5" x14ac:dyDescent="0.25">
      <c r="A11" s="19" t="s">
        <v>75</v>
      </c>
      <c r="B11">
        <f>HLOOKUP(B10,B4:E6,3,FALSE)</f>
        <v>4955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D040D-D43B-488B-B8B2-D2249E153C62}">
  <dimension ref="A8:H18"/>
  <sheetViews>
    <sheetView topLeftCell="A6" workbookViewId="0">
      <selection activeCell="G14" sqref="G14"/>
    </sheetView>
  </sheetViews>
  <sheetFormatPr defaultRowHeight="15" x14ac:dyDescent="0.25"/>
  <cols>
    <col min="1" max="1" width="18" customWidth="1"/>
    <col min="2" max="2" width="18.42578125" customWidth="1"/>
    <col min="3" max="3" width="15.85546875" customWidth="1"/>
    <col min="4" max="4" width="20.140625" customWidth="1"/>
    <col min="7" max="7" width="16.42578125" customWidth="1"/>
    <col min="8" max="8" width="18.28515625" customWidth="1"/>
  </cols>
  <sheetData>
    <row r="8" spans="1:8" x14ac:dyDescent="0.25">
      <c r="A8" s="9" t="s">
        <v>32</v>
      </c>
      <c r="B8" s="9" t="s">
        <v>33</v>
      </c>
      <c r="C8" s="9" t="s">
        <v>34</v>
      </c>
      <c r="D8" s="9" t="s">
        <v>35</v>
      </c>
      <c r="G8" s="16" t="s">
        <v>72</v>
      </c>
      <c r="H8" s="16" t="s">
        <v>35</v>
      </c>
    </row>
    <row r="9" spans="1:8" x14ac:dyDescent="0.25">
      <c r="A9" s="11" t="s">
        <v>37</v>
      </c>
      <c r="B9" s="11" t="s">
        <v>40</v>
      </c>
      <c r="C9" s="11">
        <v>484</v>
      </c>
      <c r="D9" s="12">
        <v>15972</v>
      </c>
      <c r="G9" s="8" t="s">
        <v>37</v>
      </c>
      <c r="H9" s="8">
        <f>VLOOKUP(G9,A9:D18,4)</f>
        <v>15972</v>
      </c>
    </row>
    <row r="10" spans="1:8" x14ac:dyDescent="0.25">
      <c r="A10" s="11" t="s">
        <v>39</v>
      </c>
      <c r="B10" s="11" t="s">
        <v>41</v>
      </c>
      <c r="C10" s="11">
        <v>450</v>
      </c>
      <c r="D10" s="12">
        <v>15973</v>
      </c>
      <c r="G10" s="8"/>
      <c r="H10" s="8"/>
    </row>
    <row r="11" spans="1:8" x14ac:dyDescent="0.25">
      <c r="A11" s="11" t="s">
        <v>36</v>
      </c>
      <c r="B11" s="11" t="s">
        <v>84</v>
      </c>
      <c r="C11" s="11">
        <v>320</v>
      </c>
      <c r="D11" s="12">
        <v>15974</v>
      </c>
      <c r="G11" s="8" t="s">
        <v>37</v>
      </c>
      <c r="H11" s="8">
        <f>IFERROR(VLOOKUP(G11,A9:D18,4,FALSE),"NOT FOUND")</f>
        <v>15972</v>
      </c>
    </row>
    <row r="12" spans="1:8" x14ac:dyDescent="0.25">
      <c r="A12" s="11" t="s">
        <v>37</v>
      </c>
      <c r="B12" s="11" t="s">
        <v>42</v>
      </c>
      <c r="C12" s="11">
        <v>530</v>
      </c>
      <c r="D12" s="12">
        <v>15834</v>
      </c>
      <c r="G12" s="8"/>
      <c r="H12" s="8"/>
    </row>
    <row r="13" spans="1:8" x14ac:dyDescent="0.25">
      <c r="A13" s="11" t="s">
        <v>38</v>
      </c>
      <c r="B13" s="11" t="s">
        <v>41</v>
      </c>
      <c r="C13" s="11">
        <v>120</v>
      </c>
      <c r="D13" s="12">
        <v>15984</v>
      </c>
      <c r="G13" s="8"/>
      <c r="H13" s="8"/>
    </row>
    <row r="14" spans="1:8" x14ac:dyDescent="0.25">
      <c r="A14" s="11" t="s">
        <v>39</v>
      </c>
      <c r="B14" s="11" t="s">
        <v>40</v>
      </c>
      <c r="C14" s="11">
        <v>200</v>
      </c>
      <c r="D14" s="12">
        <v>15934</v>
      </c>
      <c r="G14" s="8"/>
      <c r="H14" s="8"/>
    </row>
    <row r="15" spans="1:8" x14ac:dyDescent="0.25">
      <c r="A15" s="11" t="s">
        <v>37</v>
      </c>
      <c r="B15" s="11" t="s">
        <v>42</v>
      </c>
      <c r="C15" s="11">
        <v>300</v>
      </c>
      <c r="D15" s="12">
        <v>15924</v>
      </c>
      <c r="G15" s="8"/>
      <c r="H15" s="8"/>
    </row>
    <row r="16" spans="1:8" x14ac:dyDescent="0.25">
      <c r="A16" s="11" t="s">
        <v>39</v>
      </c>
      <c r="B16" s="11" t="s">
        <v>84</v>
      </c>
      <c r="C16" s="11">
        <v>250</v>
      </c>
      <c r="D16" s="12">
        <v>15933</v>
      </c>
      <c r="G16" s="8"/>
      <c r="H16" s="8"/>
    </row>
    <row r="17" spans="1:8" x14ac:dyDescent="0.25">
      <c r="A17" s="11" t="s">
        <v>38</v>
      </c>
      <c r="B17" s="11" t="s">
        <v>84</v>
      </c>
      <c r="C17" s="11">
        <v>550</v>
      </c>
      <c r="D17" s="12">
        <v>15944</v>
      </c>
      <c r="G17" s="8"/>
      <c r="H17" s="8"/>
    </row>
    <row r="18" spans="1:8" x14ac:dyDescent="0.25">
      <c r="A18" s="11" t="s">
        <v>39</v>
      </c>
      <c r="B18" s="11" t="s">
        <v>42</v>
      </c>
      <c r="C18" s="11">
        <v>323</v>
      </c>
      <c r="D18" s="12">
        <v>15915</v>
      </c>
      <c r="G18" s="8"/>
      <c r="H18"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889AC-8A30-4D3B-B81E-7F19C766D34D}">
  <dimension ref="A1:B10"/>
  <sheetViews>
    <sheetView workbookViewId="0">
      <selection activeCell="B2" sqref="B2"/>
    </sheetView>
  </sheetViews>
  <sheetFormatPr defaultRowHeight="15" x14ac:dyDescent="0.25"/>
  <sheetData>
    <row r="1" spans="1:2" x14ac:dyDescent="0.25">
      <c r="A1" s="11">
        <v>65002</v>
      </c>
      <c r="B1">
        <f>A1</f>
        <v>65002</v>
      </c>
    </row>
    <row r="2" spans="1:2" x14ac:dyDescent="0.25">
      <c r="A2" s="11">
        <v>50063</v>
      </c>
      <c r="B2" t="str">
        <f>CONCATENATE(B1,",",A2)</f>
        <v>65002,50063</v>
      </c>
    </row>
    <row r="3" spans="1:2" x14ac:dyDescent="0.25">
      <c r="A3" s="11">
        <v>36065</v>
      </c>
      <c r="B3" t="str">
        <f t="shared" ref="B3:B10" si="0">CONCATENATE(B2,",",A3)</f>
        <v>65002,50063,36065</v>
      </c>
    </row>
    <row r="4" spans="1:2" x14ac:dyDescent="0.25">
      <c r="A4" s="11">
        <v>43583</v>
      </c>
      <c r="B4" t="str">
        <f t="shared" si="0"/>
        <v>65002,50063,36065,43583</v>
      </c>
    </row>
    <row r="5" spans="1:2" x14ac:dyDescent="0.25">
      <c r="A5" s="11">
        <v>22938</v>
      </c>
      <c r="B5" t="str">
        <f t="shared" si="0"/>
        <v>65002,50063,36065,43583,22938</v>
      </c>
    </row>
    <row r="6" spans="1:2" x14ac:dyDescent="0.25">
      <c r="A6" s="11">
        <v>17458</v>
      </c>
      <c r="B6" t="str">
        <f t="shared" si="0"/>
        <v>65002,50063,36065,43583,22938,17458</v>
      </c>
    </row>
    <row r="7" spans="1:2" x14ac:dyDescent="0.25">
      <c r="A7" s="11">
        <v>65232</v>
      </c>
      <c r="B7" t="str">
        <f t="shared" si="0"/>
        <v>65002,50063,36065,43583,22938,17458,65232</v>
      </c>
    </row>
    <row r="8" spans="1:2" x14ac:dyDescent="0.25">
      <c r="A8" s="11">
        <v>45252</v>
      </c>
      <c r="B8" t="str">
        <f t="shared" si="0"/>
        <v>65002,50063,36065,43583,22938,17458,65232,45252</v>
      </c>
    </row>
    <row r="9" spans="1:2" x14ac:dyDescent="0.25">
      <c r="A9" s="11">
        <v>14758</v>
      </c>
      <c r="B9" t="str">
        <f t="shared" si="0"/>
        <v>65002,50063,36065,43583,22938,17458,65232,45252,14758</v>
      </c>
    </row>
    <row r="10" spans="1:2" x14ac:dyDescent="0.25">
      <c r="A10" s="11">
        <v>24218</v>
      </c>
      <c r="B10" t="str">
        <f t="shared" si="0"/>
        <v>65002,50063,36065,43583,22938,17458,65232,45252,14758,24218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29769-6228-4BDB-BC78-FD52680C456A}">
  <dimension ref="A1:G22"/>
  <sheetViews>
    <sheetView workbookViewId="0">
      <selection activeCell="G13" sqref="G13"/>
    </sheetView>
  </sheetViews>
  <sheetFormatPr defaultRowHeight="15" x14ac:dyDescent="0.25"/>
  <cols>
    <col min="1" max="1" width="21.28515625" customWidth="1"/>
    <col min="2" max="2" width="20.42578125" customWidth="1"/>
    <col min="3" max="3" width="24.7109375" customWidth="1"/>
    <col min="4" max="4" width="14.5703125" customWidth="1"/>
    <col min="5" max="5" width="16.5703125" customWidth="1"/>
    <col min="6" max="6" width="18.5703125" customWidth="1"/>
    <col min="7" max="7" width="18.140625" customWidth="1"/>
  </cols>
  <sheetData>
    <row r="1" spans="1:7" x14ac:dyDescent="0.25">
      <c r="A1" s="20" t="s">
        <v>86</v>
      </c>
      <c r="B1" s="21" t="s">
        <v>87</v>
      </c>
      <c r="C1" s="21" t="s">
        <v>88</v>
      </c>
      <c r="D1" s="21" t="s">
        <v>89</v>
      </c>
      <c r="E1" s="21" t="s">
        <v>90</v>
      </c>
      <c r="F1" s="21" t="s">
        <v>91</v>
      </c>
      <c r="G1" s="22" t="s">
        <v>92</v>
      </c>
    </row>
    <row r="2" spans="1:7" x14ac:dyDescent="0.25">
      <c r="A2" s="3" t="s">
        <v>93</v>
      </c>
      <c r="B2" s="23" t="s">
        <v>42</v>
      </c>
      <c r="C2" s="23" t="s">
        <v>94</v>
      </c>
      <c r="D2" s="23">
        <v>12000</v>
      </c>
      <c r="E2" s="23">
        <v>13500</v>
      </c>
      <c r="F2" s="24">
        <v>14000</v>
      </c>
      <c r="G2" s="25">
        <v>39500</v>
      </c>
    </row>
    <row r="3" spans="1:7" x14ac:dyDescent="0.25">
      <c r="A3" s="26" t="s">
        <v>95</v>
      </c>
      <c r="B3" s="8" t="s">
        <v>42</v>
      </c>
      <c r="C3" s="8" t="s">
        <v>96</v>
      </c>
      <c r="D3" s="8">
        <v>8000</v>
      </c>
      <c r="E3" s="8">
        <v>9500</v>
      </c>
      <c r="F3" s="10">
        <v>10000</v>
      </c>
      <c r="G3" s="27">
        <v>27500</v>
      </c>
    </row>
    <row r="4" spans="1:7" x14ac:dyDescent="0.25">
      <c r="A4" s="26" t="s">
        <v>97</v>
      </c>
      <c r="B4" s="8" t="s">
        <v>42</v>
      </c>
      <c r="C4" s="8" t="s">
        <v>98</v>
      </c>
      <c r="D4" s="8">
        <v>5000</v>
      </c>
      <c r="E4" s="8">
        <v>5200</v>
      </c>
      <c r="F4" s="28">
        <v>5500</v>
      </c>
      <c r="G4" s="27">
        <v>15700</v>
      </c>
    </row>
    <row r="5" spans="1:7" x14ac:dyDescent="0.25">
      <c r="A5" s="26" t="s">
        <v>99</v>
      </c>
      <c r="B5" s="8" t="s">
        <v>42</v>
      </c>
      <c r="C5" s="8" t="s">
        <v>94</v>
      </c>
      <c r="D5" s="8">
        <v>15000</v>
      </c>
      <c r="E5" s="8">
        <v>14500</v>
      </c>
      <c r="F5" s="10">
        <v>15500</v>
      </c>
      <c r="G5" s="27">
        <v>45000</v>
      </c>
    </row>
    <row r="6" spans="1:7" x14ac:dyDescent="0.25">
      <c r="A6" s="26" t="s">
        <v>100</v>
      </c>
      <c r="B6" s="8" t="s">
        <v>42</v>
      </c>
      <c r="C6" s="8" t="s">
        <v>96</v>
      </c>
      <c r="D6" s="8">
        <v>9000</v>
      </c>
      <c r="E6" s="8">
        <v>8800</v>
      </c>
      <c r="F6" s="8">
        <v>9299</v>
      </c>
      <c r="G6" s="27">
        <v>27000</v>
      </c>
    </row>
    <row r="7" spans="1:7" x14ac:dyDescent="0.25">
      <c r="A7" s="26" t="s">
        <v>101</v>
      </c>
      <c r="B7" s="8" t="s">
        <v>40</v>
      </c>
      <c r="C7" s="8" t="s">
        <v>98</v>
      </c>
      <c r="D7" s="8">
        <v>4500</v>
      </c>
      <c r="E7" s="8">
        <v>4700</v>
      </c>
      <c r="F7" s="8">
        <v>4900</v>
      </c>
      <c r="G7" s="27">
        <v>14100</v>
      </c>
    </row>
    <row r="8" spans="1:7" x14ac:dyDescent="0.25">
      <c r="A8" s="26" t="s">
        <v>102</v>
      </c>
      <c r="B8" s="8" t="s">
        <v>40</v>
      </c>
      <c r="C8" s="8" t="s">
        <v>94</v>
      </c>
      <c r="D8" s="8">
        <v>11000</v>
      </c>
      <c r="E8" s="8">
        <v>11500</v>
      </c>
      <c r="F8" s="8">
        <v>12000</v>
      </c>
      <c r="G8" s="27">
        <v>34500</v>
      </c>
    </row>
    <row r="9" spans="1:7" x14ac:dyDescent="0.25">
      <c r="A9" s="26" t="s">
        <v>103</v>
      </c>
      <c r="B9" s="8" t="s">
        <v>40</v>
      </c>
      <c r="C9" s="8" t="s">
        <v>96</v>
      </c>
      <c r="D9" s="8">
        <v>10000</v>
      </c>
      <c r="E9" s="8">
        <v>10200</v>
      </c>
      <c r="F9" s="8">
        <v>10500</v>
      </c>
      <c r="G9" s="27">
        <v>30700</v>
      </c>
    </row>
    <row r="10" spans="1:7" x14ac:dyDescent="0.25">
      <c r="A10" s="26" t="s">
        <v>104</v>
      </c>
      <c r="B10" s="8" t="s">
        <v>40</v>
      </c>
      <c r="C10" s="8" t="s">
        <v>98</v>
      </c>
      <c r="D10" s="8">
        <v>6000</v>
      </c>
      <c r="E10" s="8">
        <v>6200</v>
      </c>
      <c r="F10" s="8">
        <v>6500</v>
      </c>
      <c r="G10" s="27">
        <v>18700</v>
      </c>
    </row>
    <row r="11" spans="1:7" x14ac:dyDescent="0.25">
      <c r="A11" s="26" t="s">
        <v>105</v>
      </c>
      <c r="B11" s="8" t="s">
        <v>40</v>
      </c>
      <c r="C11" s="8" t="s">
        <v>94</v>
      </c>
      <c r="D11" s="8">
        <v>13000</v>
      </c>
      <c r="E11" s="8">
        <v>12800</v>
      </c>
      <c r="F11" s="8">
        <v>13500</v>
      </c>
      <c r="G11" s="27">
        <v>39300</v>
      </c>
    </row>
    <row r="12" spans="1:7" x14ac:dyDescent="0.25">
      <c r="A12" s="26" t="s">
        <v>106</v>
      </c>
      <c r="B12" s="8" t="s">
        <v>84</v>
      </c>
      <c r="C12" s="8" t="s">
        <v>96</v>
      </c>
      <c r="D12" s="8">
        <v>8500</v>
      </c>
      <c r="E12" s="8">
        <v>8700</v>
      </c>
      <c r="F12" s="8">
        <v>8900</v>
      </c>
      <c r="G12" s="27">
        <v>26100</v>
      </c>
    </row>
    <row r="13" spans="1:7" x14ac:dyDescent="0.25">
      <c r="A13" s="26" t="s">
        <v>107</v>
      </c>
      <c r="B13" s="8" t="s">
        <v>84</v>
      </c>
      <c r="C13" s="8" t="s">
        <v>98</v>
      </c>
      <c r="D13" s="8">
        <v>4800</v>
      </c>
      <c r="E13" s="8">
        <v>5000</v>
      </c>
      <c r="F13" s="8">
        <v>5200</v>
      </c>
      <c r="G13" s="27">
        <v>15000</v>
      </c>
    </row>
    <row r="14" spans="1:7" x14ac:dyDescent="0.25">
      <c r="A14" s="26" t="s">
        <v>108</v>
      </c>
      <c r="B14" s="8" t="s">
        <v>84</v>
      </c>
      <c r="C14" s="8" t="s">
        <v>94</v>
      </c>
      <c r="D14" s="8">
        <v>16000</v>
      </c>
      <c r="E14" s="8">
        <v>15800</v>
      </c>
      <c r="F14" s="8">
        <v>16200</v>
      </c>
      <c r="G14" s="27">
        <v>48000</v>
      </c>
    </row>
    <row r="15" spans="1:7" x14ac:dyDescent="0.25">
      <c r="A15" s="26" t="s">
        <v>109</v>
      </c>
      <c r="B15" s="8" t="s">
        <v>84</v>
      </c>
      <c r="C15" s="8" t="s">
        <v>96</v>
      </c>
      <c r="D15" s="8">
        <v>9200</v>
      </c>
      <c r="E15" s="8">
        <v>9400</v>
      </c>
      <c r="F15" s="8">
        <v>9600</v>
      </c>
      <c r="G15" s="27">
        <v>28200</v>
      </c>
    </row>
    <row r="16" spans="1:7" x14ac:dyDescent="0.25">
      <c r="A16" s="26" t="s">
        <v>110</v>
      </c>
      <c r="B16" s="8" t="s">
        <v>84</v>
      </c>
      <c r="C16" s="8" t="s">
        <v>98</v>
      </c>
      <c r="D16" s="8">
        <v>5500</v>
      </c>
      <c r="E16" s="8">
        <v>5700</v>
      </c>
      <c r="F16" s="8">
        <v>5900</v>
      </c>
      <c r="G16" s="27">
        <v>17100</v>
      </c>
    </row>
    <row r="17" spans="1:7" x14ac:dyDescent="0.25">
      <c r="A17" s="26" t="s">
        <v>111</v>
      </c>
      <c r="B17" s="8" t="s">
        <v>41</v>
      </c>
      <c r="C17" s="8" t="s">
        <v>94</v>
      </c>
      <c r="D17" s="8">
        <v>14000</v>
      </c>
      <c r="E17" s="8">
        <v>14200</v>
      </c>
      <c r="F17" s="8">
        <v>14500</v>
      </c>
      <c r="G17" s="27">
        <v>42700</v>
      </c>
    </row>
    <row r="18" spans="1:7" x14ac:dyDescent="0.25">
      <c r="A18" s="26" t="s">
        <v>112</v>
      </c>
      <c r="B18" s="8" t="s">
        <v>41</v>
      </c>
      <c r="C18" s="8" t="s">
        <v>96</v>
      </c>
      <c r="D18" s="8">
        <v>8800</v>
      </c>
      <c r="E18" s="8">
        <v>9000</v>
      </c>
      <c r="F18" s="8">
        <v>9200</v>
      </c>
      <c r="G18" s="27">
        <v>27000</v>
      </c>
    </row>
    <row r="19" spans="1:7" x14ac:dyDescent="0.25">
      <c r="A19" s="26" t="s">
        <v>113</v>
      </c>
      <c r="B19" s="8" t="s">
        <v>41</v>
      </c>
      <c r="C19" s="8" t="s">
        <v>98</v>
      </c>
      <c r="D19" s="8">
        <v>4700</v>
      </c>
      <c r="E19" s="8">
        <v>4900</v>
      </c>
      <c r="F19" s="8">
        <v>5100</v>
      </c>
      <c r="G19" s="27">
        <v>14700</v>
      </c>
    </row>
    <row r="20" spans="1:7" x14ac:dyDescent="0.25">
      <c r="A20" s="26" t="s">
        <v>114</v>
      </c>
      <c r="B20" s="8" t="s">
        <v>41</v>
      </c>
      <c r="C20" s="8" t="s">
        <v>94</v>
      </c>
      <c r="D20" s="8">
        <v>12500</v>
      </c>
      <c r="E20" s="8">
        <v>13000</v>
      </c>
      <c r="F20" s="8">
        <v>13500</v>
      </c>
      <c r="G20" s="27">
        <v>39000</v>
      </c>
    </row>
    <row r="21" spans="1:7" x14ac:dyDescent="0.25">
      <c r="A21" s="26" t="s">
        <v>115</v>
      </c>
      <c r="B21" s="8" t="s">
        <v>41</v>
      </c>
      <c r="C21" s="8" t="s">
        <v>96</v>
      </c>
      <c r="D21" s="8">
        <v>9700</v>
      </c>
      <c r="E21" s="8">
        <v>9900</v>
      </c>
      <c r="F21" s="8">
        <v>10100</v>
      </c>
      <c r="G21" s="27">
        <v>28700</v>
      </c>
    </row>
    <row r="22" spans="1:7" x14ac:dyDescent="0.25">
      <c r="A22" s="29"/>
      <c r="B22" s="30"/>
      <c r="C22" s="30"/>
      <c r="D22" s="30"/>
      <c r="E22" s="30"/>
      <c r="F22" s="30"/>
      <c r="G22" s="31"/>
    </row>
  </sheetData>
  <conditionalFormatting sqref="D3:F22">
    <cfRule type="cellIs" dxfId="14" priority="3" operator="equal">
      <formula>15000</formula>
    </cfRule>
    <cfRule type="cellIs" dxfId="13" priority="4" operator="between">
      <formula>1000</formula>
      <formula>5000</formula>
    </cfRule>
    <cfRule type="cellIs" dxfId="12" priority="5" operator="lessThan">
      <formula>15000</formula>
    </cfRule>
    <cfRule type="cellIs" dxfId="11" priority="6" operator="greaterThan">
      <formula>15000</formula>
    </cfRule>
  </conditionalFormatting>
  <conditionalFormatting sqref="E15">
    <cfRule type="cellIs" dxfId="10" priority="1" operator="greaterThan">
      <formula>15800</formula>
    </cfRule>
  </conditionalFormatting>
  <conditionalFormatting sqref="G3:G22">
    <cfRule type="dataBar" priority="2">
      <dataBar>
        <cfvo type="min"/>
        <cfvo type="max"/>
        <color rgb="FF638EC6"/>
      </dataBar>
      <extLst>
        <ext xmlns:x14="http://schemas.microsoft.com/office/spreadsheetml/2009/9/main" uri="{B025F937-C7B1-47D3-B67F-A62EFF666E3E}">
          <x14:id>{5B976E25-3926-4662-915A-D0256F9FE4BC}</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B976E25-3926-4662-915A-D0256F9FE4BC}">
            <x14:dataBar minLength="0" maxLength="100" border="1" negativeBarBorderColorSameAsPositive="0">
              <x14:cfvo type="autoMin"/>
              <x14:cfvo type="autoMax"/>
              <x14:borderColor rgb="FF638EC6"/>
              <x14:negativeFillColor rgb="FFFF0000"/>
              <x14:negativeBorderColor rgb="FFFF0000"/>
              <x14:axisColor rgb="FF000000"/>
            </x14:dataBar>
          </x14:cfRule>
          <xm:sqref>G3:G22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8C258-C98D-4A6B-A1CE-E762ED47467C}">
  <dimension ref="A1:G28"/>
  <sheetViews>
    <sheetView tabSelected="1" topLeftCell="E1" workbookViewId="0">
      <selection activeCell="V7" sqref="V7"/>
    </sheetView>
  </sheetViews>
  <sheetFormatPr defaultRowHeight="15" x14ac:dyDescent="0.25"/>
  <cols>
    <col min="1" max="1" width="17" customWidth="1"/>
    <col min="2" max="2" width="12.140625" customWidth="1"/>
    <col min="3" max="3" width="12.28515625" customWidth="1"/>
    <col min="4" max="4" width="14.42578125" customWidth="1"/>
    <col min="6" max="6" width="13.140625" bestFit="1" customWidth="1"/>
    <col min="7" max="7" width="14.7109375" bestFit="1" customWidth="1"/>
  </cols>
  <sheetData>
    <row r="1" spans="1:7" x14ac:dyDescent="0.25">
      <c r="A1" s="32" t="s">
        <v>116</v>
      </c>
      <c r="B1" s="32" t="s">
        <v>117</v>
      </c>
      <c r="C1" s="32" t="s">
        <v>118</v>
      </c>
      <c r="D1" s="32" t="s">
        <v>63</v>
      </c>
      <c r="F1" s="34" t="s">
        <v>121</v>
      </c>
      <c r="G1" t="s">
        <v>122</v>
      </c>
    </row>
    <row r="2" spans="1:7" x14ac:dyDescent="0.25">
      <c r="A2" t="s">
        <v>99</v>
      </c>
      <c r="B2" t="s">
        <v>40</v>
      </c>
      <c r="C2">
        <v>5</v>
      </c>
      <c r="D2">
        <v>25000</v>
      </c>
      <c r="F2" s="33" t="s">
        <v>41</v>
      </c>
      <c r="G2" s="35">
        <v>89000</v>
      </c>
    </row>
    <row r="3" spans="1:7" x14ac:dyDescent="0.25">
      <c r="A3" t="s">
        <v>99</v>
      </c>
      <c r="B3" t="s">
        <v>42</v>
      </c>
      <c r="C3">
        <v>3</v>
      </c>
      <c r="D3">
        <v>18000</v>
      </c>
      <c r="F3" s="33" t="s">
        <v>40</v>
      </c>
      <c r="G3" s="35">
        <v>65000</v>
      </c>
    </row>
    <row r="4" spans="1:7" x14ac:dyDescent="0.25">
      <c r="A4" t="s">
        <v>100</v>
      </c>
      <c r="B4" t="s">
        <v>41</v>
      </c>
      <c r="C4">
        <v>4</v>
      </c>
      <c r="D4">
        <v>22000</v>
      </c>
      <c r="F4" s="33" t="s">
        <v>42</v>
      </c>
      <c r="G4" s="35">
        <v>60000</v>
      </c>
    </row>
    <row r="5" spans="1:7" x14ac:dyDescent="0.25">
      <c r="A5" t="s">
        <v>100</v>
      </c>
      <c r="B5" t="s">
        <v>84</v>
      </c>
      <c r="C5">
        <v>6</v>
      </c>
      <c r="D5">
        <v>30000</v>
      </c>
      <c r="F5" s="33" t="s">
        <v>84</v>
      </c>
      <c r="G5" s="35">
        <v>75000</v>
      </c>
    </row>
    <row r="6" spans="1:7" x14ac:dyDescent="0.25">
      <c r="A6" t="s">
        <v>119</v>
      </c>
      <c r="B6" t="s">
        <v>40</v>
      </c>
      <c r="C6">
        <v>2</v>
      </c>
      <c r="D6">
        <v>12000</v>
      </c>
      <c r="F6" s="33" t="s">
        <v>123</v>
      </c>
      <c r="G6" s="35">
        <v>289000</v>
      </c>
    </row>
    <row r="7" spans="1:7" x14ac:dyDescent="0.25">
      <c r="A7" t="s">
        <v>119</v>
      </c>
      <c r="B7" t="s">
        <v>42</v>
      </c>
      <c r="C7">
        <v>5</v>
      </c>
      <c r="D7">
        <v>27000</v>
      </c>
    </row>
    <row r="8" spans="1:7" x14ac:dyDescent="0.25">
      <c r="A8" t="s">
        <v>120</v>
      </c>
      <c r="B8" t="s">
        <v>41</v>
      </c>
      <c r="C8">
        <v>7</v>
      </c>
      <c r="D8">
        <v>35000</v>
      </c>
      <c r="F8" s="34" t="s">
        <v>121</v>
      </c>
      <c r="G8" t="s">
        <v>124</v>
      </c>
    </row>
    <row r="9" spans="1:7" x14ac:dyDescent="0.25">
      <c r="A9" t="s">
        <v>120</v>
      </c>
      <c r="B9" t="s">
        <v>84</v>
      </c>
      <c r="C9">
        <v>4</v>
      </c>
      <c r="D9">
        <v>24000</v>
      </c>
      <c r="F9" s="33" t="s">
        <v>99</v>
      </c>
      <c r="G9" s="35">
        <v>14</v>
      </c>
    </row>
    <row r="10" spans="1:7" x14ac:dyDescent="0.25">
      <c r="A10" t="s">
        <v>99</v>
      </c>
      <c r="B10" t="s">
        <v>41</v>
      </c>
      <c r="C10">
        <v>6</v>
      </c>
      <c r="D10">
        <v>32000</v>
      </c>
      <c r="F10" s="33" t="s">
        <v>100</v>
      </c>
      <c r="G10" s="35">
        <v>13</v>
      </c>
    </row>
    <row r="11" spans="1:7" x14ac:dyDescent="0.25">
      <c r="A11" t="s">
        <v>100</v>
      </c>
      <c r="B11" t="s">
        <v>42</v>
      </c>
      <c r="C11">
        <v>3</v>
      </c>
      <c r="D11">
        <v>15000</v>
      </c>
      <c r="F11" s="33" t="s">
        <v>119</v>
      </c>
      <c r="G11" s="35">
        <v>11</v>
      </c>
    </row>
    <row r="12" spans="1:7" x14ac:dyDescent="0.25">
      <c r="A12" t="s">
        <v>119</v>
      </c>
      <c r="B12" t="s">
        <v>84</v>
      </c>
      <c r="C12">
        <v>4</v>
      </c>
      <c r="D12">
        <v>21000</v>
      </c>
      <c r="F12" s="33" t="s">
        <v>120</v>
      </c>
      <c r="G12" s="35">
        <v>16</v>
      </c>
    </row>
    <row r="13" spans="1:7" x14ac:dyDescent="0.25">
      <c r="A13" t="s">
        <v>120</v>
      </c>
      <c r="B13" t="s">
        <v>40</v>
      </c>
      <c r="C13">
        <v>5</v>
      </c>
      <c r="D13">
        <v>28000</v>
      </c>
      <c r="F13" s="33" t="s">
        <v>123</v>
      </c>
      <c r="G13" s="35">
        <v>54</v>
      </c>
    </row>
    <row r="16" spans="1:7" x14ac:dyDescent="0.25">
      <c r="A16" s="32" t="s">
        <v>116</v>
      </c>
      <c r="B16" s="32" t="s">
        <v>117</v>
      </c>
      <c r="C16" s="32" t="s">
        <v>118</v>
      </c>
      <c r="D16" s="32" t="s">
        <v>63</v>
      </c>
    </row>
    <row r="17" spans="1:4" x14ac:dyDescent="0.25">
      <c r="A17" t="s">
        <v>99</v>
      </c>
      <c r="B17" t="s">
        <v>40</v>
      </c>
      <c r="C17">
        <v>5</v>
      </c>
      <c r="D17">
        <v>25000</v>
      </c>
    </row>
    <row r="18" spans="1:4" x14ac:dyDescent="0.25">
      <c r="A18" t="s">
        <v>99</v>
      </c>
      <c r="B18" t="s">
        <v>42</v>
      </c>
      <c r="C18">
        <v>3</v>
      </c>
      <c r="D18">
        <v>18000</v>
      </c>
    </row>
    <row r="19" spans="1:4" x14ac:dyDescent="0.25">
      <c r="A19" t="s">
        <v>100</v>
      </c>
      <c r="B19" t="s">
        <v>41</v>
      </c>
      <c r="C19">
        <v>4</v>
      </c>
      <c r="D19">
        <v>22000</v>
      </c>
    </row>
    <row r="20" spans="1:4" x14ac:dyDescent="0.25">
      <c r="A20" t="s">
        <v>100</v>
      </c>
      <c r="B20" t="s">
        <v>84</v>
      </c>
      <c r="C20">
        <v>6</v>
      </c>
      <c r="D20">
        <v>30000</v>
      </c>
    </row>
    <row r="21" spans="1:4" x14ac:dyDescent="0.25">
      <c r="A21" t="s">
        <v>119</v>
      </c>
      <c r="B21" t="s">
        <v>40</v>
      </c>
      <c r="C21">
        <v>2</v>
      </c>
      <c r="D21">
        <v>12000</v>
      </c>
    </row>
    <row r="22" spans="1:4" x14ac:dyDescent="0.25">
      <c r="A22" t="s">
        <v>119</v>
      </c>
      <c r="B22" t="s">
        <v>42</v>
      </c>
      <c r="C22">
        <v>5</v>
      </c>
      <c r="D22">
        <v>27000</v>
      </c>
    </row>
    <row r="23" spans="1:4" x14ac:dyDescent="0.25">
      <c r="A23" t="s">
        <v>120</v>
      </c>
      <c r="B23" t="s">
        <v>41</v>
      </c>
      <c r="C23">
        <v>7</v>
      </c>
      <c r="D23">
        <v>35000</v>
      </c>
    </row>
    <row r="24" spans="1:4" x14ac:dyDescent="0.25">
      <c r="A24" t="s">
        <v>120</v>
      </c>
      <c r="B24" t="s">
        <v>84</v>
      </c>
      <c r="C24">
        <v>4</v>
      </c>
      <c r="D24">
        <v>24000</v>
      </c>
    </row>
    <row r="25" spans="1:4" x14ac:dyDescent="0.25">
      <c r="A25" t="s">
        <v>99</v>
      </c>
      <c r="B25" t="s">
        <v>41</v>
      </c>
      <c r="C25">
        <v>6</v>
      </c>
      <c r="D25">
        <v>32000</v>
      </c>
    </row>
    <row r="26" spans="1:4" x14ac:dyDescent="0.25">
      <c r="A26" t="s">
        <v>100</v>
      </c>
      <c r="B26" t="s">
        <v>42</v>
      </c>
      <c r="C26">
        <v>3</v>
      </c>
      <c r="D26">
        <v>15000</v>
      </c>
    </row>
    <row r="27" spans="1:4" x14ac:dyDescent="0.25">
      <c r="A27" t="s">
        <v>119</v>
      </c>
      <c r="B27" t="s">
        <v>84</v>
      </c>
      <c r="C27">
        <v>4</v>
      </c>
      <c r="D27">
        <v>21000</v>
      </c>
    </row>
    <row r="28" spans="1:4" x14ac:dyDescent="0.25">
      <c r="A28" t="s">
        <v>120</v>
      </c>
      <c r="B28" t="s">
        <v>40</v>
      </c>
      <c r="C28">
        <v>5</v>
      </c>
      <c r="D28">
        <v>28000</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MIN-MAX-AVG-SUM</vt:lpstr>
      <vt:lpstr>IF</vt:lpstr>
      <vt:lpstr>SUMIFS</vt:lpstr>
      <vt:lpstr>COUNTIFS</vt:lpstr>
      <vt:lpstr>SUMPRODUCT</vt:lpstr>
      <vt:lpstr>CONCAT&amp;TEXTJOIN</vt:lpstr>
      <vt:lpstr>HLOOKUP</vt:lpstr>
      <vt:lpstr>VLOOKUP&amp;IFERROR</vt:lpstr>
      <vt:lpstr>CONCATENATE</vt:lpstr>
      <vt:lpstr>CONDITIONAL FARMAT</vt:lpstr>
      <vt:lpstr>POVIT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S0673909</cp:lastModifiedBy>
  <dcterms:created xsi:type="dcterms:W3CDTF">2026-02-03T17:22:59Z</dcterms:created>
  <dcterms:modified xsi:type="dcterms:W3CDTF">2026-06-08T16:10:13Z</dcterms:modified>
</cp:coreProperties>
</file>