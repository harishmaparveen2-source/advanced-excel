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ishma Project\"/>
    </mc:Choice>
  </mc:AlternateContent>
  <xr:revisionPtr revIDLastSave="0" documentId="13_ncr:1_{9332D931-B5C8-46CA-8BCC-208AF4252BBC}" xr6:coauthVersionLast="47" xr6:coauthVersionMax="47" xr10:uidLastSave="{00000000-0000-0000-0000-000000000000}"/>
  <bookViews>
    <workbookView xWindow="-120" yWindow="-120" windowWidth="20730" windowHeight="11040" firstSheet="2" activeTab="6" xr2:uid="{B8BBB4DC-3BE7-437C-BDE1-4AE65DED229D}"/>
  </bookViews>
  <sheets>
    <sheet name="MIN-MAX-AVG-SUM" sheetId="1" r:id="rId1"/>
    <sheet name="IF" sheetId="2" r:id="rId2"/>
    <sheet name="SUMIFS" sheetId="3" r:id="rId3"/>
    <sheet name="COUNTIFS" sheetId="4" r:id="rId4"/>
    <sheet name="SUMPRODUCT" sheetId="5" r:id="rId5"/>
    <sheet name="CONCAT&amp;TEXTJOIN" sheetId="6" r:id="rId6"/>
    <sheet name="HLOOKUP" sheetId="8" r:id="rId7"/>
    <sheet name="VLOOKUP&amp;IFERROR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J3" i="1"/>
  <c r="I3" i="1"/>
  <c r="D10" i="1"/>
  <c r="D10" i="6"/>
  <c r="E9" i="6"/>
  <c r="H2" i="4"/>
  <c r="B11" i="8"/>
  <c r="H11" i="7"/>
  <c r="H9" i="7"/>
  <c r="D9" i="6"/>
  <c r="E24" i="5"/>
  <c r="I4" i="3"/>
  <c r="I2" i="3"/>
  <c r="C3" i="2"/>
  <c r="C4" i="2"/>
  <c r="C5" i="2"/>
  <c r="C6" i="2"/>
  <c r="C2" i="2"/>
  <c r="O2" i="1"/>
  <c r="K4" i="1"/>
  <c r="K5" i="1"/>
  <c r="K6" i="1"/>
  <c r="K7" i="1"/>
  <c r="E10" i="1"/>
  <c r="F10" i="1"/>
  <c r="G10" i="1"/>
  <c r="H10" i="1"/>
  <c r="E9" i="1"/>
  <c r="F9" i="1"/>
  <c r="G9" i="1"/>
  <c r="H9" i="1"/>
  <c r="J4" i="1"/>
  <c r="J5" i="1"/>
  <c r="J6" i="1"/>
  <c r="J7" i="1"/>
  <c r="I4" i="1"/>
  <c r="I5" i="1"/>
  <c r="I6" i="1"/>
  <c r="I7" i="1"/>
  <c r="K3" i="1" l="1"/>
  <c r="O4" i="1" s="1"/>
  <c r="P6" i="1"/>
  <c r="O3" i="1" l="1"/>
  <c r="P7" i="1" s="1"/>
</calcChain>
</file>

<file path=xl/sharedStrings.xml><?xml version="1.0" encoding="utf-8"?>
<sst xmlns="http://schemas.openxmlformats.org/spreadsheetml/2006/main" count="164" uniqueCount="86">
  <si>
    <t>s.no</t>
  </si>
  <si>
    <t>name</t>
  </si>
  <si>
    <t>roll no</t>
  </si>
  <si>
    <t xml:space="preserve">mark 1 </t>
  </si>
  <si>
    <t>mark 2</t>
  </si>
  <si>
    <t>mark3</t>
  </si>
  <si>
    <t>mark 4</t>
  </si>
  <si>
    <t>mark 5</t>
  </si>
  <si>
    <t>total</t>
  </si>
  <si>
    <t>avg</t>
  </si>
  <si>
    <t>harishma</t>
  </si>
  <si>
    <t>zara</t>
  </si>
  <si>
    <t>zayan</t>
  </si>
  <si>
    <t>riya</t>
  </si>
  <si>
    <t>renu</t>
  </si>
  <si>
    <t>result</t>
  </si>
  <si>
    <t>min</t>
  </si>
  <si>
    <t>max</t>
  </si>
  <si>
    <t>R1001</t>
  </si>
  <si>
    <t>R1002</t>
  </si>
  <si>
    <t>R1003</t>
  </si>
  <si>
    <t>R1004</t>
  </si>
  <si>
    <t>R1005</t>
  </si>
  <si>
    <t>TOTAL  STUDENT</t>
  </si>
  <si>
    <t>TOTAL PASS</t>
  </si>
  <si>
    <t>TOTAL FAIL</t>
  </si>
  <si>
    <t>STUDENT &gt;80% MARKS</t>
  </si>
  <si>
    <t>OVERALL PASS %</t>
  </si>
  <si>
    <t xml:space="preserve">PASS %      </t>
  </si>
  <si>
    <t>STUDENT NAME</t>
  </si>
  <si>
    <t>% OF MARKS</t>
  </si>
  <si>
    <t>SCHOLASHIP</t>
  </si>
  <si>
    <t>EMPLOYEE</t>
  </si>
  <si>
    <t>REGION</t>
  </si>
  <si>
    <t>ORDER TAKEN</t>
  </si>
  <si>
    <t>TOTAL SALES</t>
  </si>
  <si>
    <t>KALAM</t>
  </si>
  <si>
    <t>BANU</t>
  </si>
  <si>
    <t>KAVIYA</t>
  </si>
  <si>
    <t>SURIYA</t>
  </si>
  <si>
    <t>NORTH</t>
  </si>
  <si>
    <t>EAST</t>
  </si>
  <si>
    <t>SOUTH</t>
  </si>
  <si>
    <t>UNITS ORDERED</t>
  </si>
  <si>
    <t>TOTAL AMOUNT</t>
  </si>
  <si>
    <t>&gt;=500</t>
  </si>
  <si>
    <t xml:space="preserve"> </t>
  </si>
  <si>
    <t>ODERS TAKENS</t>
  </si>
  <si>
    <t>TOTAL COUNT</t>
  </si>
  <si>
    <t>&gt;=200</t>
  </si>
  <si>
    <t>PRODUCT ID</t>
  </si>
  <si>
    <t>PRODUCT</t>
  </si>
  <si>
    <t>QUANTITY</t>
  </si>
  <si>
    <t>RATE</t>
  </si>
  <si>
    <t>AMOUNT</t>
  </si>
  <si>
    <t>GREEN GRAM</t>
  </si>
  <si>
    <t>RICE</t>
  </si>
  <si>
    <t>TOOTH PASTE</t>
  </si>
  <si>
    <t>SALT</t>
  </si>
  <si>
    <t>BENGAL GRAM</t>
  </si>
  <si>
    <t>OIL</t>
  </si>
  <si>
    <t xml:space="preserve">RICE </t>
  </si>
  <si>
    <t>SUGER</t>
  </si>
  <si>
    <t>TOTAL</t>
  </si>
  <si>
    <t>FIRST NAME</t>
  </si>
  <si>
    <t>MIDDLE NAME</t>
  </si>
  <si>
    <t>LAST NAME</t>
  </si>
  <si>
    <t>CONCAT</t>
  </si>
  <si>
    <t>MICHAEL</t>
  </si>
  <si>
    <t>HENRY</t>
  </si>
  <si>
    <t>W</t>
  </si>
  <si>
    <t>SMITH</t>
  </si>
  <si>
    <t>FORD</t>
  </si>
  <si>
    <t>EMPOLYEE</t>
  </si>
  <si>
    <t>COMPANY</t>
  </si>
  <si>
    <t>BRANCH</t>
  </si>
  <si>
    <t>SALES</t>
  </si>
  <si>
    <t>MRF</t>
  </si>
  <si>
    <t>TVS</t>
  </si>
  <si>
    <t>CEAT</t>
  </si>
  <si>
    <t>APOLLO</t>
  </si>
  <si>
    <t>CHENNAI</t>
  </si>
  <si>
    <t>MADURAI</t>
  </si>
  <si>
    <t>TRICHY</t>
  </si>
  <si>
    <t>COVAI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</si>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</sst>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/>
    </xf>
    <xf numFmtId="10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0" fillId="0" borderId="4" xfId="0" applyBorder="1"/>
    <xf numFmtId="0" fontId="2" fillId="3" borderId="4" xfId="0" applyFont="1" applyFill="1" applyBorder="1" applyAlignment="1">
      <alignment horizontal="center"/>
    </xf>
    <xf numFmtId="3" fontId="0" fillId="0" borderId="4" xfId="0" applyNumberFormat="1" applyBorder="1"/>
    <xf numFmtId="0" fontId="0" fillId="0" borderId="4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3" fontId="0" fillId="0" borderId="4" xfId="0" applyNumberFormat="1" applyBorder="1" applyAlignment="1">
      <alignment horizontal="left"/>
    </xf>
    <xf numFmtId="0" fontId="2" fillId="8" borderId="4" xfId="0" applyFont="1" applyFill="1" applyBorder="1"/>
    <xf numFmtId="0" fontId="2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5E98-5B12-4ABC-9B2F-462A9BD4498C}">
  <dimension ref="A2:P15"/>
  <sheetViews>
    <sheetView workbookViewId="0">
      <selection activeCell="E16" sqref="E16"/>
    </sheetView>
  </sheetViews>
  <sheetFormatPr defaultRowHeight="15" x14ac:dyDescent="0.25"/>
  <sheetData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15</v>
      </c>
      <c r="M2" t="s">
        <v>23</v>
      </c>
      <c r="O2">
        <f>COUNT(A3:A7)</f>
        <v>5</v>
      </c>
    </row>
    <row r="3" spans="1:16" x14ac:dyDescent="0.25">
      <c r="A3">
        <v>1</v>
      </c>
      <c r="B3" t="s">
        <v>10</v>
      </c>
      <c r="C3" t="s">
        <v>18</v>
      </c>
      <c r="D3">
        <v>56</v>
      </c>
      <c r="E3">
        <v>90</v>
      </c>
      <c r="F3">
        <v>45</v>
      </c>
      <c r="G3">
        <v>89</v>
      </c>
      <c r="H3">
        <v>85</v>
      </c>
      <c r="I3">
        <f>SUM(C3:H3)</f>
        <v>365</v>
      </c>
      <c r="J3">
        <f>AVERAGE(C3:H3)</f>
        <v>73</v>
      </c>
      <c r="K3" t="str">
        <f>IF(AND(D3&gt;=35,E3&gt;=35,F3&gt;=35,G3&gt;=35,H3&gt;=35),"P","F")</f>
        <v>P</v>
      </c>
      <c r="M3" t="s">
        <v>24</v>
      </c>
      <c r="O3">
        <f>COUNTIF(K3:K7,"P")</f>
        <v>4</v>
      </c>
    </row>
    <row r="4" spans="1:16" x14ac:dyDescent="0.25">
      <c r="A4">
        <v>2</v>
      </c>
      <c r="B4" t="s">
        <v>14</v>
      </c>
      <c r="C4" t="s">
        <v>19</v>
      </c>
      <c r="D4">
        <v>30</v>
      </c>
      <c r="E4">
        <v>70</v>
      </c>
      <c r="F4">
        <v>45</v>
      </c>
      <c r="G4">
        <v>55</v>
      </c>
      <c r="H4">
        <v>80</v>
      </c>
      <c r="I4">
        <f t="shared" ref="I4:I7" si="0">SUM(C4:H4)</f>
        <v>280</v>
      </c>
      <c r="J4">
        <f t="shared" ref="J4:J7" si="1">AVERAGE(C4:H4)</f>
        <v>56</v>
      </c>
      <c r="K4" t="str">
        <f t="shared" ref="K4:K7" si="2">IF(AND(D4&gt;=35,E4&gt;=35,F4&gt;=35,G4&gt;=35,H4&gt;=35),"P","F")</f>
        <v>F</v>
      </c>
      <c r="M4" t="s">
        <v>25</v>
      </c>
      <c r="O4">
        <f>COUNTIF(K3:K7,"F")</f>
        <v>1</v>
      </c>
    </row>
    <row r="5" spans="1:16" x14ac:dyDescent="0.25">
      <c r="A5">
        <v>3</v>
      </c>
      <c r="B5" t="s">
        <v>11</v>
      </c>
      <c r="C5" t="s">
        <v>20</v>
      </c>
      <c r="D5">
        <v>75</v>
      </c>
      <c r="E5">
        <v>45</v>
      </c>
      <c r="F5">
        <v>55</v>
      </c>
      <c r="G5">
        <v>88</v>
      </c>
      <c r="H5">
        <v>90</v>
      </c>
      <c r="I5">
        <f t="shared" si="0"/>
        <v>353</v>
      </c>
      <c r="J5">
        <f t="shared" si="1"/>
        <v>70.599999999999994</v>
      </c>
      <c r="K5" t="str">
        <f t="shared" si="2"/>
        <v>P</v>
      </c>
    </row>
    <row r="6" spans="1:16" x14ac:dyDescent="0.25">
      <c r="A6">
        <v>4</v>
      </c>
      <c r="B6" t="s">
        <v>12</v>
      </c>
      <c r="C6" t="s">
        <v>21</v>
      </c>
      <c r="D6">
        <v>40</v>
      </c>
      <c r="E6">
        <v>61</v>
      </c>
      <c r="F6">
        <v>42</v>
      </c>
      <c r="G6">
        <v>53</v>
      </c>
      <c r="H6">
        <v>45</v>
      </c>
      <c r="I6">
        <f t="shared" si="0"/>
        <v>241</v>
      </c>
      <c r="J6">
        <f t="shared" si="1"/>
        <v>48.2</v>
      </c>
      <c r="K6" t="str">
        <f t="shared" si="2"/>
        <v>P</v>
      </c>
      <c r="M6" t="s">
        <v>26</v>
      </c>
      <c r="P6">
        <f>COUNTIF(J3:J7,"&gt;=80")</f>
        <v>1</v>
      </c>
    </row>
    <row r="7" spans="1:16" x14ac:dyDescent="0.25">
      <c r="A7">
        <v>5</v>
      </c>
      <c r="B7" t="s">
        <v>13</v>
      </c>
      <c r="C7" t="s">
        <v>22</v>
      </c>
      <c r="D7">
        <v>90</v>
      </c>
      <c r="E7">
        <v>85</v>
      </c>
      <c r="F7">
        <v>86</v>
      </c>
      <c r="G7">
        <v>92</v>
      </c>
      <c r="H7">
        <v>70</v>
      </c>
      <c r="I7">
        <f t="shared" si="0"/>
        <v>423</v>
      </c>
      <c r="J7">
        <f t="shared" si="1"/>
        <v>84.6</v>
      </c>
      <c r="K7" t="str">
        <f t="shared" si="2"/>
        <v>P</v>
      </c>
      <c r="M7" t="s">
        <v>27</v>
      </c>
      <c r="N7" t="s">
        <v>28</v>
      </c>
      <c r="P7">
        <f>(O3/O2)*100</f>
        <v>80</v>
      </c>
    </row>
    <row r="9" spans="1:16" x14ac:dyDescent="0.25">
      <c r="C9" t="s">
        <v>16</v>
      </c>
      <c r="D9">
        <f>MIN(D3:D7)</f>
        <v>30</v>
      </c>
      <c r="E9">
        <f t="shared" ref="E9:H9" si="3">MIN(E3:E7)</f>
        <v>45</v>
      </c>
      <c r="F9">
        <f t="shared" si="3"/>
        <v>42</v>
      </c>
      <c r="G9">
        <f t="shared" si="3"/>
        <v>53</v>
      </c>
      <c r="H9">
        <f t="shared" si="3"/>
        <v>45</v>
      </c>
    </row>
    <row r="10" spans="1:16" x14ac:dyDescent="0.25">
      <c r="C10" t="s">
        <v>17</v>
      </c>
      <c r="D10">
        <f>MAX(D3:D7)</f>
        <v>90</v>
      </c>
      <c r="E10">
        <f t="shared" ref="E10:H10" si="4">MAX(E3:E7)</f>
        <v>90</v>
      </c>
      <c r="F10">
        <f t="shared" si="4"/>
        <v>86</v>
      </c>
      <c r="G10">
        <f t="shared" si="4"/>
        <v>92</v>
      </c>
      <c r="H10">
        <f t="shared" si="4"/>
        <v>90</v>
      </c>
    </row>
    <row r="13" spans="1:16" x14ac:dyDescent="0.25">
      <c r="J13" s="1"/>
      <c r="K13" s="2"/>
    </row>
    <row r="14" spans="1:16" x14ac:dyDescent="0.25">
      <c r="K14" s="2"/>
    </row>
    <row r="15" spans="1:16" x14ac:dyDescent="0.25">
      <c r="J15" s="1"/>
      <c r="K1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4CE9-66DF-4CDA-8885-A2520F2A2DF2}">
  <dimension ref="A1:C6"/>
  <sheetViews>
    <sheetView workbookViewId="0">
      <selection activeCell="C19" sqref="C19"/>
    </sheetView>
  </sheetViews>
  <sheetFormatPr defaultRowHeight="15" x14ac:dyDescent="0.25"/>
  <cols>
    <col min="1" max="1" width="18.140625" customWidth="1"/>
    <col min="2" max="2" width="18.28515625" customWidth="1"/>
    <col min="3" max="3" width="18.7109375" customWidth="1"/>
  </cols>
  <sheetData>
    <row r="1" spans="1:3" x14ac:dyDescent="0.25">
      <c r="A1" s="5" t="s">
        <v>29</v>
      </c>
      <c r="B1" s="5" t="s">
        <v>30</v>
      </c>
      <c r="C1" t="s">
        <v>31</v>
      </c>
    </row>
    <row r="2" spans="1:3" x14ac:dyDescent="0.25">
      <c r="A2" s="4" t="s">
        <v>10</v>
      </c>
      <c r="B2" s="6">
        <v>0.72599999999999998</v>
      </c>
      <c r="C2" t="str">
        <f>IF(B2&gt;=70%,"ELIGIBLE","NOT ELIGIBLE")</f>
        <v>ELIGIBLE</v>
      </c>
    </row>
    <row r="3" spans="1:3" x14ac:dyDescent="0.25">
      <c r="A3" s="4" t="s">
        <v>14</v>
      </c>
      <c r="B3" s="7">
        <v>0.56000000000000005</v>
      </c>
      <c r="C3" t="str">
        <f t="shared" ref="C3:C6" si="0">IF(B3&gt;=70%,"ELIGIBLE","NOT ELIGIBLE")</f>
        <v>NOT ELIGIBLE</v>
      </c>
    </row>
    <row r="4" spans="1:3" x14ac:dyDescent="0.25">
      <c r="A4" s="4" t="s">
        <v>11</v>
      </c>
      <c r="B4" s="6">
        <v>0.70599999999999996</v>
      </c>
      <c r="C4" t="str">
        <f t="shared" si="0"/>
        <v>ELIGIBLE</v>
      </c>
    </row>
    <row r="5" spans="1:3" x14ac:dyDescent="0.25">
      <c r="A5" s="4" t="s">
        <v>12</v>
      </c>
      <c r="B5" s="6">
        <v>0.48199999999999998</v>
      </c>
      <c r="C5" t="str">
        <f t="shared" si="0"/>
        <v>NOT ELIGIBLE</v>
      </c>
    </row>
    <row r="6" spans="1:3" x14ac:dyDescent="0.25">
      <c r="A6" s="4" t="s">
        <v>13</v>
      </c>
      <c r="B6" s="6">
        <v>0.84599999999999997</v>
      </c>
      <c r="C6" t="str">
        <f t="shared" si="0"/>
        <v>ELIGIBLE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D66C-48F1-43A7-97A4-98B94F6758FC}">
  <dimension ref="A1:I17"/>
  <sheetViews>
    <sheetView workbookViewId="0">
      <selection activeCell="B9" sqref="B9"/>
    </sheetView>
  </sheetViews>
  <sheetFormatPr defaultRowHeight="15" x14ac:dyDescent="0.25"/>
  <cols>
    <col min="1" max="1" width="18.140625" customWidth="1"/>
    <col min="2" max="2" width="18.5703125" customWidth="1"/>
    <col min="3" max="3" width="22.5703125" customWidth="1"/>
    <col min="4" max="4" width="31.85546875" customWidth="1"/>
    <col min="7" max="7" width="20.85546875" customWidth="1"/>
    <col min="8" max="8" width="21" customWidth="1"/>
    <col min="9" max="9" width="20.28515625" customWidth="1"/>
  </cols>
  <sheetData>
    <row r="1" spans="1:9" x14ac:dyDescent="0.25">
      <c r="A1" s="9" t="s">
        <v>32</v>
      </c>
      <c r="B1" s="9" t="s">
        <v>33</v>
      </c>
      <c r="C1" s="9" t="s">
        <v>34</v>
      </c>
      <c r="D1" s="9" t="s">
        <v>35</v>
      </c>
      <c r="G1" s="9" t="s">
        <v>32</v>
      </c>
      <c r="H1" s="9" t="s">
        <v>43</v>
      </c>
      <c r="I1" s="9" t="s">
        <v>44</v>
      </c>
    </row>
    <row r="2" spans="1:9" x14ac:dyDescent="0.25">
      <c r="A2" s="8" t="s">
        <v>37</v>
      </c>
      <c r="B2" s="8" t="s">
        <v>40</v>
      </c>
      <c r="C2" s="8">
        <v>484</v>
      </c>
      <c r="D2" s="10">
        <v>15972</v>
      </c>
      <c r="G2" s="8" t="s">
        <v>39</v>
      </c>
      <c r="H2" s="8"/>
      <c r="I2" s="8">
        <f>SUMIFS(D2:D11,A2:A11,G2)</f>
        <v>63755</v>
      </c>
    </row>
    <row r="3" spans="1:9" x14ac:dyDescent="0.25">
      <c r="A3" s="8" t="s">
        <v>39</v>
      </c>
      <c r="B3" s="8" t="s">
        <v>41</v>
      </c>
      <c r="C3" s="8">
        <v>450</v>
      </c>
      <c r="D3" s="10">
        <v>15973</v>
      </c>
      <c r="G3" s="8"/>
      <c r="H3" s="8"/>
      <c r="I3" s="8"/>
    </row>
    <row r="4" spans="1:9" x14ac:dyDescent="0.25">
      <c r="A4" s="8" t="s">
        <v>36</v>
      </c>
      <c r="B4" s="8" t="s">
        <v>85</v>
      </c>
      <c r="C4" s="8">
        <v>320</v>
      </c>
      <c r="D4" s="10">
        <v>15974</v>
      </c>
      <c r="G4" s="8" t="s">
        <v>38</v>
      </c>
      <c r="H4" s="8" t="s">
        <v>45</v>
      </c>
      <c r="I4" s="8">
        <f>SUMIFS(D2:D11,A2:A11,G4,C2:C11,H4)</f>
        <v>15944</v>
      </c>
    </row>
    <row r="5" spans="1:9" x14ac:dyDescent="0.25">
      <c r="A5" s="8" t="s">
        <v>37</v>
      </c>
      <c r="B5" s="8" t="s">
        <v>42</v>
      </c>
      <c r="C5" s="8">
        <v>530</v>
      </c>
      <c r="D5" s="10">
        <v>15834</v>
      </c>
      <c r="G5" s="8"/>
      <c r="H5" s="8"/>
      <c r="I5" s="8"/>
    </row>
    <row r="6" spans="1:9" x14ac:dyDescent="0.25">
      <c r="A6" s="8" t="s">
        <v>38</v>
      </c>
      <c r="B6" s="8" t="s">
        <v>41</v>
      </c>
      <c r="C6" s="8">
        <v>120</v>
      </c>
      <c r="D6" s="10">
        <v>15984</v>
      </c>
      <c r="G6" s="8"/>
      <c r="H6" s="8"/>
      <c r="I6" s="8"/>
    </row>
    <row r="7" spans="1:9" x14ac:dyDescent="0.25">
      <c r="A7" s="8" t="s">
        <v>39</v>
      </c>
      <c r="B7" s="8" t="s">
        <v>40</v>
      </c>
      <c r="C7" s="8">
        <v>200</v>
      </c>
      <c r="D7" s="10">
        <v>15934</v>
      </c>
      <c r="G7" s="8"/>
      <c r="H7" s="8"/>
      <c r="I7" s="8"/>
    </row>
    <row r="8" spans="1:9" x14ac:dyDescent="0.25">
      <c r="A8" s="8" t="s">
        <v>37</v>
      </c>
      <c r="B8" s="8" t="s">
        <v>42</v>
      </c>
      <c r="C8" s="8">
        <v>300</v>
      </c>
      <c r="D8" s="10">
        <v>15924</v>
      </c>
      <c r="G8" s="8"/>
      <c r="H8" s="8"/>
      <c r="I8" s="8"/>
    </row>
    <row r="9" spans="1:9" x14ac:dyDescent="0.25">
      <c r="A9" s="8" t="s">
        <v>39</v>
      </c>
      <c r="B9" s="8" t="s">
        <v>85</v>
      </c>
      <c r="C9" s="8">
        <v>250</v>
      </c>
      <c r="D9" s="10">
        <v>15933</v>
      </c>
      <c r="G9" s="8"/>
      <c r="H9" s="8"/>
      <c r="I9" s="8"/>
    </row>
    <row r="10" spans="1:9" x14ac:dyDescent="0.25">
      <c r="A10" s="8" t="s">
        <v>38</v>
      </c>
      <c r="B10" s="8" t="s">
        <v>85</v>
      </c>
      <c r="C10" s="8">
        <v>550</v>
      </c>
      <c r="D10" s="10">
        <v>15944</v>
      </c>
      <c r="G10" s="8"/>
      <c r="H10" s="8"/>
      <c r="I10" s="8"/>
    </row>
    <row r="11" spans="1:9" x14ac:dyDescent="0.25">
      <c r="A11" s="8" t="s">
        <v>39</v>
      </c>
      <c r="B11" s="8" t="s">
        <v>42</v>
      </c>
      <c r="C11" s="8">
        <v>323</v>
      </c>
      <c r="D11" s="10">
        <v>15915</v>
      </c>
      <c r="G11" s="8"/>
      <c r="H11" s="8"/>
      <c r="I11" s="8"/>
    </row>
    <row r="12" spans="1:9" x14ac:dyDescent="0.25">
      <c r="A12" s="8"/>
      <c r="B12" s="8"/>
      <c r="C12" s="8"/>
      <c r="D12" s="8"/>
    </row>
    <row r="13" spans="1:9" x14ac:dyDescent="0.25">
      <c r="A13" s="8"/>
      <c r="B13" s="8"/>
      <c r="D13" s="8"/>
    </row>
    <row r="14" spans="1:9" x14ac:dyDescent="0.25">
      <c r="A14" s="8"/>
      <c r="B14" s="8"/>
      <c r="C14" s="8"/>
      <c r="D14" s="8"/>
    </row>
    <row r="15" spans="1:9" x14ac:dyDescent="0.25">
      <c r="A15" s="8"/>
      <c r="B15" s="8"/>
      <c r="C15" s="8"/>
      <c r="D15" s="8"/>
    </row>
    <row r="16" spans="1:9" x14ac:dyDescent="0.25">
      <c r="A16" s="8"/>
      <c r="B16" s="8"/>
      <c r="C16" s="8"/>
      <c r="D16" s="8"/>
    </row>
    <row r="17" spans="1:4" x14ac:dyDescent="0.25">
      <c r="A17" s="8"/>
      <c r="B17" s="8"/>
      <c r="C17" s="8"/>
      <c r="D17" s="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B6D6-CC76-4AF7-83B3-FFF33C641443}">
  <dimension ref="A1:H11"/>
  <sheetViews>
    <sheetView workbookViewId="0">
      <selection activeCell="H3" sqref="H3"/>
    </sheetView>
  </sheetViews>
  <sheetFormatPr defaultRowHeight="15" x14ac:dyDescent="0.25"/>
  <cols>
    <col min="1" max="1" width="18.7109375" customWidth="1"/>
    <col min="2" max="2" width="18.28515625" customWidth="1"/>
    <col min="3" max="3" width="18" customWidth="1"/>
    <col min="4" max="4" width="23.42578125" customWidth="1"/>
    <col min="6" max="6" width="18.28515625" customWidth="1"/>
    <col min="7" max="7" width="22.7109375" customWidth="1"/>
    <col min="8" max="8" width="21" customWidth="1"/>
  </cols>
  <sheetData>
    <row r="1" spans="1:8" x14ac:dyDescent="0.25">
      <c r="A1" s="9" t="s">
        <v>32</v>
      </c>
      <c r="B1" s="9" t="s">
        <v>33</v>
      </c>
      <c r="C1" s="9" t="s">
        <v>34</v>
      </c>
      <c r="D1" s="9" t="s">
        <v>35</v>
      </c>
      <c r="F1" s="13" t="s">
        <v>33</v>
      </c>
      <c r="G1" s="13" t="s">
        <v>47</v>
      </c>
      <c r="H1" s="13" t="s">
        <v>48</v>
      </c>
    </row>
    <row r="2" spans="1:8" x14ac:dyDescent="0.25">
      <c r="A2" s="11" t="s">
        <v>37</v>
      </c>
      <c r="B2" s="11" t="s">
        <v>40</v>
      </c>
      <c r="C2" s="11">
        <v>484</v>
      </c>
      <c r="D2" s="12">
        <v>15972</v>
      </c>
      <c r="F2" s="8" t="s">
        <v>40</v>
      </c>
      <c r="G2" s="8" t="s">
        <v>49</v>
      </c>
      <c r="H2" s="8">
        <f>COUNTIFS(B2:B11,F2,C2:C11,G2)</f>
        <v>2</v>
      </c>
    </row>
    <row r="3" spans="1:8" x14ac:dyDescent="0.25">
      <c r="A3" s="11" t="s">
        <v>39</v>
      </c>
      <c r="B3" s="11" t="s">
        <v>41</v>
      </c>
      <c r="C3" s="11">
        <v>450</v>
      </c>
      <c r="D3" s="12">
        <v>15973</v>
      </c>
      <c r="F3" s="8"/>
      <c r="G3" s="8"/>
      <c r="H3" s="8"/>
    </row>
    <row r="4" spans="1:8" x14ac:dyDescent="0.25">
      <c r="A4" s="11" t="s">
        <v>36</v>
      </c>
      <c r="B4" s="11" t="s">
        <v>85</v>
      </c>
      <c r="C4" s="11">
        <v>320</v>
      </c>
      <c r="D4" s="12">
        <v>15974</v>
      </c>
      <c r="F4" s="8"/>
      <c r="G4" s="8"/>
      <c r="H4" s="8"/>
    </row>
    <row r="5" spans="1:8" x14ac:dyDescent="0.25">
      <c r="A5" s="11" t="s">
        <v>37</v>
      </c>
      <c r="B5" s="11" t="s">
        <v>42</v>
      </c>
      <c r="C5" s="11">
        <v>530</v>
      </c>
      <c r="D5" s="12">
        <v>15834</v>
      </c>
      <c r="F5" s="8"/>
      <c r="G5" s="8"/>
      <c r="H5" s="8"/>
    </row>
    <row r="6" spans="1:8" x14ac:dyDescent="0.25">
      <c r="A6" s="11" t="s">
        <v>38</v>
      </c>
      <c r="B6" s="11" t="s">
        <v>41</v>
      </c>
      <c r="C6" s="11">
        <v>120</v>
      </c>
      <c r="D6" s="12">
        <v>15984</v>
      </c>
      <c r="F6" s="8"/>
      <c r="G6" s="8"/>
      <c r="H6" s="8"/>
    </row>
    <row r="7" spans="1:8" x14ac:dyDescent="0.25">
      <c r="A7" s="11" t="s">
        <v>39</v>
      </c>
      <c r="B7" s="11" t="s">
        <v>40</v>
      </c>
      <c r="C7" s="11">
        <v>200</v>
      </c>
      <c r="D7" s="12">
        <v>15934</v>
      </c>
      <c r="F7" s="8"/>
      <c r="G7" s="8"/>
      <c r="H7" s="8"/>
    </row>
    <row r="8" spans="1:8" x14ac:dyDescent="0.25">
      <c r="A8" s="11" t="s">
        <v>37</v>
      </c>
      <c r="B8" s="11" t="s">
        <v>42</v>
      </c>
      <c r="C8" s="11">
        <v>300</v>
      </c>
      <c r="D8" s="12">
        <v>15924</v>
      </c>
      <c r="F8" s="8"/>
      <c r="G8" s="8"/>
      <c r="H8" s="8"/>
    </row>
    <row r="9" spans="1:8" x14ac:dyDescent="0.25">
      <c r="A9" s="11" t="s">
        <v>39</v>
      </c>
      <c r="B9" s="11" t="s">
        <v>85</v>
      </c>
      <c r="C9" s="11">
        <v>250</v>
      </c>
      <c r="D9" s="12">
        <v>15933</v>
      </c>
      <c r="F9" s="8" t="s">
        <v>46</v>
      </c>
      <c r="G9" s="8"/>
      <c r="H9" s="8"/>
    </row>
    <row r="10" spans="1:8" x14ac:dyDescent="0.25">
      <c r="A10" s="11" t="s">
        <v>38</v>
      </c>
      <c r="B10" s="11" t="s">
        <v>85</v>
      </c>
      <c r="C10" s="11">
        <v>550</v>
      </c>
      <c r="D10" s="12">
        <v>15944</v>
      </c>
      <c r="F10" s="8"/>
      <c r="G10" s="8"/>
      <c r="H10" s="8"/>
    </row>
    <row r="11" spans="1:8" x14ac:dyDescent="0.25">
      <c r="A11" s="11" t="s">
        <v>39</v>
      </c>
      <c r="B11" s="11" t="s">
        <v>42</v>
      </c>
      <c r="C11" s="11">
        <v>323</v>
      </c>
      <c r="D11" s="12">
        <v>15915</v>
      </c>
      <c r="F11" s="8"/>
      <c r="G11" s="8"/>
      <c r="H11" s="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719A-4F80-4553-960F-3E002BB6830C}">
  <dimension ref="A10:E24"/>
  <sheetViews>
    <sheetView topLeftCell="A4" workbookViewId="0">
      <selection activeCell="E24" sqref="E24"/>
    </sheetView>
  </sheetViews>
  <sheetFormatPr defaultRowHeight="15" x14ac:dyDescent="0.25"/>
  <cols>
    <col min="1" max="1" width="14" customWidth="1"/>
    <col min="2" max="2" width="15.7109375" customWidth="1"/>
    <col min="3" max="3" width="16.28515625" customWidth="1"/>
    <col min="4" max="4" width="19.7109375" customWidth="1"/>
    <col min="5" max="5" width="16.140625" customWidth="1"/>
  </cols>
  <sheetData>
    <row r="10" spans="1:5" x14ac:dyDescent="0.25">
      <c r="A10" s="14" t="s">
        <v>50</v>
      </c>
      <c r="B10" s="14" t="s">
        <v>51</v>
      </c>
      <c r="C10" s="14" t="s">
        <v>52</v>
      </c>
      <c r="D10" s="14" t="s">
        <v>53</v>
      </c>
      <c r="E10" s="14" t="s">
        <v>54</v>
      </c>
    </row>
    <row r="11" spans="1:5" x14ac:dyDescent="0.25">
      <c r="A11" s="11">
        <v>65002</v>
      </c>
      <c r="B11" s="8" t="s">
        <v>55</v>
      </c>
      <c r="C11" s="11">
        <v>5</v>
      </c>
      <c r="D11" s="8">
        <v>120</v>
      </c>
      <c r="E11" s="8"/>
    </row>
    <row r="12" spans="1:5" x14ac:dyDescent="0.25">
      <c r="A12" s="11">
        <v>50063</v>
      </c>
      <c r="B12" s="8" t="s">
        <v>56</v>
      </c>
      <c r="C12" s="11">
        <v>6</v>
      </c>
      <c r="D12" s="8">
        <v>68</v>
      </c>
      <c r="E12" s="8"/>
    </row>
    <row r="13" spans="1:5" x14ac:dyDescent="0.25">
      <c r="A13" s="11">
        <v>36065</v>
      </c>
      <c r="B13" s="8" t="s">
        <v>57</v>
      </c>
      <c r="C13" s="11">
        <v>3</v>
      </c>
      <c r="D13" s="8">
        <v>35</v>
      </c>
      <c r="E13" s="8"/>
    </row>
    <row r="14" spans="1:5" x14ac:dyDescent="0.25">
      <c r="A14" s="11">
        <v>43583</v>
      </c>
      <c r="B14" s="8" t="s">
        <v>58</v>
      </c>
      <c r="C14" s="11">
        <v>4</v>
      </c>
      <c r="D14" s="8">
        <v>25</v>
      </c>
      <c r="E14" s="8"/>
    </row>
    <row r="15" spans="1:5" x14ac:dyDescent="0.25">
      <c r="A15" s="11">
        <v>22938</v>
      </c>
      <c r="B15" s="8" t="s">
        <v>55</v>
      </c>
      <c r="C15" s="11">
        <v>8</v>
      </c>
      <c r="D15" s="8">
        <v>120</v>
      </c>
      <c r="E15" s="8"/>
    </row>
    <row r="16" spans="1:5" x14ac:dyDescent="0.25">
      <c r="A16" s="11">
        <v>17458</v>
      </c>
      <c r="B16" s="8" t="s">
        <v>56</v>
      </c>
      <c r="C16" s="11">
        <v>9</v>
      </c>
      <c r="D16" s="8">
        <v>68</v>
      </c>
      <c r="E16" s="8"/>
    </row>
    <row r="17" spans="1:5" x14ac:dyDescent="0.25">
      <c r="A17" s="11">
        <v>65232</v>
      </c>
      <c r="B17" s="8" t="s">
        <v>59</v>
      </c>
      <c r="C17" s="11">
        <v>7</v>
      </c>
      <c r="D17" s="8">
        <v>110</v>
      </c>
      <c r="E17" s="8"/>
    </row>
    <row r="18" spans="1:5" x14ac:dyDescent="0.25">
      <c r="A18" s="11">
        <v>45252</v>
      </c>
      <c r="B18" s="8" t="s">
        <v>60</v>
      </c>
      <c r="C18" s="11">
        <v>3</v>
      </c>
      <c r="D18" s="8">
        <v>95</v>
      </c>
      <c r="E18" s="8"/>
    </row>
    <row r="19" spans="1:5" x14ac:dyDescent="0.25">
      <c r="A19" s="11">
        <v>14758</v>
      </c>
      <c r="B19" s="8" t="s">
        <v>61</v>
      </c>
      <c r="C19" s="11">
        <v>2</v>
      </c>
      <c r="D19" s="8">
        <v>68</v>
      </c>
      <c r="E19" s="8"/>
    </row>
    <row r="20" spans="1:5" x14ac:dyDescent="0.25">
      <c r="A20" s="11">
        <v>24218</v>
      </c>
      <c r="B20" s="8" t="s">
        <v>62</v>
      </c>
      <c r="C20" s="11">
        <v>3</v>
      </c>
      <c r="D20" s="8">
        <v>45</v>
      </c>
      <c r="E20" s="8"/>
    </row>
    <row r="21" spans="1:5" x14ac:dyDescent="0.25">
      <c r="A21" s="8"/>
      <c r="B21" s="8"/>
      <c r="C21" s="8"/>
      <c r="D21" s="8" t="s">
        <v>63</v>
      </c>
      <c r="E21" s="8">
        <v>4111</v>
      </c>
    </row>
    <row r="24" spans="1:5" x14ac:dyDescent="0.25">
      <c r="E24">
        <f>SUMPRODUCT(C11:C20,D11:D20)</f>
        <v>4111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1930-E6C8-4E8E-85E2-BC6A421F4102}">
  <dimension ref="A8:E10"/>
  <sheetViews>
    <sheetView workbookViewId="0">
      <selection activeCell="F10" sqref="F10"/>
    </sheetView>
  </sheetViews>
  <sheetFormatPr defaultRowHeight="15" x14ac:dyDescent="0.25"/>
  <cols>
    <col min="1" max="1" width="18.28515625" customWidth="1"/>
    <col min="2" max="2" width="18" customWidth="1"/>
    <col min="3" max="3" width="18.28515625" customWidth="1"/>
    <col min="4" max="4" width="18.140625" customWidth="1"/>
  </cols>
  <sheetData>
    <row r="8" spans="1:5" x14ac:dyDescent="0.25">
      <c r="A8" s="15" t="s">
        <v>64</v>
      </c>
      <c r="B8" s="15" t="s">
        <v>65</v>
      </c>
      <c r="C8" s="15" t="s">
        <v>66</v>
      </c>
      <c r="D8" s="15" t="s">
        <v>67</v>
      </c>
    </row>
    <row r="9" spans="1:5" x14ac:dyDescent="0.25">
      <c r="A9" s="8" t="s">
        <v>68</v>
      </c>
      <c r="B9" s="8" t="s">
        <v>70</v>
      </c>
      <c r="C9" s="8" t="s">
        <v>71</v>
      </c>
      <c r="D9" s="8" t="str">
        <f>_xlfn.CONCAT(A9,B9,C9)</f>
        <v>MICHAELWSMITH</v>
      </c>
      <c r="E9" t="str">
        <f>_xlfn.CONCAT(A9," ",B9," ",C9)</f>
        <v>MICHAEL W SMITH</v>
      </c>
    </row>
    <row r="10" spans="1:5" x14ac:dyDescent="0.25">
      <c r="A10" s="8" t="s">
        <v>69</v>
      </c>
      <c r="B10" s="8"/>
      <c r="C10" s="8" t="s">
        <v>72</v>
      </c>
      <c r="D10" s="8" t="str">
        <f>_xlfn.TEXTJOIN(" ",TRUE,A10,C10)</f>
        <v>HENRY FORD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8F06-C43E-4E31-AEE4-35C08AB9898E}">
  <dimension ref="A4:E11"/>
  <sheetViews>
    <sheetView tabSelected="1" workbookViewId="0">
      <selection activeCell="D20" sqref="D20"/>
    </sheetView>
  </sheetViews>
  <sheetFormatPr defaultRowHeight="15" x14ac:dyDescent="0.25"/>
  <cols>
    <col min="1" max="1" width="18.140625" customWidth="1"/>
    <col min="2" max="2" width="17" customWidth="1"/>
    <col min="3" max="3" width="16.42578125" customWidth="1"/>
    <col min="4" max="4" width="16.140625" customWidth="1"/>
  </cols>
  <sheetData>
    <row r="4" spans="1:5" x14ac:dyDescent="0.25">
      <c r="A4" s="18" t="s">
        <v>74</v>
      </c>
      <c r="B4" s="8" t="s">
        <v>77</v>
      </c>
      <c r="C4" s="8" t="s">
        <v>78</v>
      </c>
      <c r="D4" s="8" t="s">
        <v>79</v>
      </c>
      <c r="E4" s="8" t="s">
        <v>80</v>
      </c>
    </row>
    <row r="5" spans="1:5" x14ac:dyDescent="0.25">
      <c r="A5" s="18" t="s">
        <v>75</v>
      </c>
      <c r="B5" s="8" t="s">
        <v>81</v>
      </c>
      <c r="C5" s="8" t="s">
        <v>82</v>
      </c>
      <c r="D5" s="8" t="s">
        <v>83</v>
      </c>
      <c r="E5" s="8" t="s">
        <v>84</v>
      </c>
    </row>
    <row r="6" spans="1:5" x14ac:dyDescent="0.25">
      <c r="A6" s="18" t="s">
        <v>76</v>
      </c>
      <c r="B6" s="17">
        <v>15350</v>
      </c>
      <c r="C6" s="17">
        <v>1820</v>
      </c>
      <c r="D6" s="17">
        <v>4955</v>
      </c>
      <c r="E6" s="17">
        <v>2566</v>
      </c>
    </row>
    <row r="10" spans="1:5" x14ac:dyDescent="0.25">
      <c r="A10" s="19" t="s">
        <v>74</v>
      </c>
      <c r="B10" t="s">
        <v>79</v>
      </c>
    </row>
    <row r="11" spans="1:5" x14ac:dyDescent="0.25">
      <c r="A11" s="19" t="s">
        <v>76</v>
      </c>
      <c r="B11">
        <f>HLOOKUP(B10,B4:E6,3,FALSE)</f>
        <v>4955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040D-D43B-488B-B8B2-D2249E153C62}">
  <dimension ref="A8:H18"/>
  <sheetViews>
    <sheetView workbookViewId="0">
      <selection activeCell="H11" sqref="H11"/>
    </sheetView>
  </sheetViews>
  <sheetFormatPr defaultRowHeight="15" x14ac:dyDescent="0.25"/>
  <cols>
    <col min="1" max="1" width="18" customWidth="1"/>
    <col min="2" max="2" width="18.42578125" customWidth="1"/>
    <col min="3" max="3" width="15.85546875" customWidth="1"/>
    <col min="4" max="4" width="20.140625" customWidth="1"/>
    <col min="7" max="7" width="16.42578125" customWidth="1"/>
    <col min="8" max="8" width="18.28515625" customWidth="1"/>
  </cols>
  <sheetData>
    <row r="8" spans="1:8" x14ac:dyDescent="0.25">
      <c r="A8" s="9" t="s">
        <v>32</v>
      </c>
      <c r="B8" s="9" t="s">
        <v>33</v>
      </c>
      <c r="C8" s="9" t="s">
        <v>34</v>
      </c>
      <c r="D8" s="9" t="s">
        <v>35</v>
      </c>
      <c r="G8" s="16" t="s">
        <v>73</v>
      </c>
      <c r="H8" s="16" t="s">
        <v>35</v>
      </c>
    </row>
    <row r="9" spans="1:8" x14ac:dyDescent="0.25">
      <c r="A9" s="11" t="s">
        <v>37</v>
      </c>
      <c r="B9" s="11" t="s">
        <v>40</v>
      </c>
      <c r="C9" s="11">
        <v>484</v>
      </c>
      <c r="D9" s="12">
        <v>15972</v>
      </c>
      <c r="G9" s="8" t="s">
        <v>37</v>
      </c>
      <c r="H9" s="8">
        <f>VLOOKUP(G9,A9:D18,4)</f>
        <v>15972</v>
      </c>
    </row>
    <row r="10" spans="1:8" x14ac:dyDescent="0.25">
      <c r="A10" s="11" t="s">
        <v>39</v>
      </c>
      <c r="B10" s="11" t="s">
        <v>41</v>
      </c>
      <c r="C10" s="11">
        <v>450</v>
      </c>
      <c r="D10" s="12">
        <v>15973</v>
      </c>
      <c r="G10" s="8"/>
      <c r="H10" s="8"/>
    </row>
    <row r="11" spans="1:8" x14ac:dyDescent="0.25">
      <c r="A11" s="11" t="s">
        <v>36</v>
      </c>
      <c r="B11" s="11" t="s">
        <v>85</v>
      </c>
      <c r="C11" s="11">
        <v>320</v>
      </c>
      <c r="D11" s="12">
        <v>15974</v>
      </c>
      <c r="G11" s="8" t="s">
        <v>37</v>
      </c>
      <c r="H11" s="8">
        <f>IFERROR(VLOOKUP(G11,A9:D18,4,FALSE),"NOT FOUND")</f>
        <v>15972</v>
      </c>
    </row>
    <row r="12" spans="1:8" x14ac:dyDescent="0.25">
      <c r="A12" s="11" t="s">
        <v>37</v>
      </c>
      <c r="B12" s="11" t="s">
        <v>42</v>
      </c>
      <c r="C12" s="11">
        <v>530</v>
      </c>
      <c r="D12" s="12">
        <v>15834</v>
      </c>
      <c r="G12" s="8"/>
      <c r="H12" s="8"/>
    </row>
    <row r="13" spans="1:8" x14ac:dyDescent="0.25">
      <c r="A13" s="11" t="s">
        <v>38</v>
      </c>
      <c r="B13" s="11" t="s">
        <v>41</v>
      </c>
      <c r="C13" s="11">
        <v>120</v>
      </c>
      <c r="D13" s="12">
        <v>15984</v>
      </c>
      <c r="G13" s="8"/>
      <c r="H13" s="8"/>
    </row>
    <row r="14" spans="1:8" x14ac:dyDescent="0.25">
      <c r="A14" s="11" t="s">
        <v>39</v>
      </c>
      <c r="B14" s="11" t="s">
        <v>40</v>
      </c>
      <c r="C14" s="11">
        <v>200</v>
      </c>
      <c r="D14" s="12">
        <v>15934</v>
      </c>
      <c r="G14" s="8"/>
      <c r="H14" s="8"/>
    </row>
    <row r="15" spans="1:8" x14ac:dyDescent="0.25">
      <c r="A15" s="11" t="s">
        <v>37</v>
      </c>
      <c r="B15" s="11" t="s">
        <v>42</v>
      </c>
      <c r="C15" s="11">
        <v>300</v>
      </c>
      <c r="D15" s="12">
        <v>15924</v>
      </c>
      <c r="G15" s="8"/>
      <c r="H15" s="8"/>
    </row>
    <row r="16" spans="1:8" x14ac:dyDescent="0.25">
      <c r="A16" s="11" t="s">
        <v>39</v>
      </c>
      <c r="B16" s="11" t="s">
        <v>85</v>
      </c>
      <c r="C16" s="11">
        <v>250</v>
      </c>
      <c r="D16" s="12">
        <v>15933</v>
      </c>
      <c r="G16" s="8"/>
      <c r="H16" s="8"/>
    </row>
    <row r="17" spans="1:8" x14ac:dyDescent="0.25">
      <c r="A17" s="11" t="s">
        <v>38</v>
      </c>
      <c r="B17" s="11" t="s">
        <v>85</v>
      </c>
      <c r="C17" s="11">
        <v>550</v>
      </c>
      <c r="D17" s="12">
        <v>15944</v>
      </c>
      <c r="G17" s="8"/>
      <c r="H17" s="8"/>
    </row>
    <row r="18" spans="1:8" x14ac:dyDescent="0.25">
      <c r="A18" s="11" t="s">
        <v>39</v>
      </c>
      <c r="B18" s="11" t="s">
        <v>42</v>
      </c>
      <c r="C18" s="11">
        <v>323</v>
      </c>
      <c r="D18" s="12">
        <v>15915</v>
      </c>
      <c r="G18" s="8"/>
      <c r="H1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MIN-MAX-AVG-SUM</vt:lpstr>
      <vt:lpstr>IF</vt:lpstr>
      <vt:lpstr>SUMIFS</vt:lpstr>
      <vt:lpstr>COUNTIFS</vt:lpstr>
      <vt:lpstr>SUMPRODUCT</vt:lpstr>
      <vt:lpstr>CONCAT&amp;TEXTJOIN</vt:lpstr>
      <vt:lpstr>HLOOKUP</vt:lpstr>
      <vt:lpstr>VLOOKUP&amp;IFERROR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S0673909</cp:lastModifiedBy>
  <dcterms:created xsi:type="dcterms:W3CDTF">2026-02-03T17:22:59Z</dcterms:created>
  <dcterms:modified xsi:type="dcterms:W3CDTF">2026-06-08T13:37:29Z</dcterms:modified>
</cp:coreProperties>
</file>